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2"/>
  <mc:AlternateContent xmlns:mc="http://schemas.openxmlformats.org/markup-compatibility/2006">
    <mc:Choice Requires="x15">
      <x15ac:absPath xmlns:x15ac="http://schemas.microsoft.com/office/spreadsheetml/2010/11/ac" url="C:\Users\natas\Documents\Codex\2026-09-01\wit\outputs\finance-v28-blank-templates\"/>
    </mc:Choice>
  </mc:AlternateContent>
  <xr:revisionPtr revIDLastSave="0" documentId="13_ncr:1_{26607FB9-EB14-4A85-A72A-6661636CB57A}" xr6:coauthVersionLast="47" xr6:coauthVersionMax="47" xr10:uidLastSave="{00000000-0000-0000-0000-000000000000}"/>
  <bookViews>
    <workbookView xWindow="3900" yWindow="3900" windowWidth="28800" windowHeight="15345" firstSheet="4" activeTab="10" xr2:uid="{00000000-000D-0000-FFFF-FFFF00000000}"/>
  </bookViews>
  <sheets>
    <sheet name="ReadMe" sheetId="14" r:id="rId1"/>
    <sheet name="Errors" sheetId="13" r:id="rId2"/>
    <sheet name="AccountCode" sheetId="8" r:id="rId3"/>
    <sheet name="AccountCodeOverride" sheetId="12" r:id="rId4"/>
    <sheet name="CostCentre" sheetId="16" r:id="rId5"/>
    <sheet name="POAdjustment" sheetId="15" r:id="rId6"/>
    <sheet name="POForecast" sheetId="20" r:id="rId7"/>
    <sheet name="DataValidation" sheetId="21" r:id="rId8"/>
    <sheet name="JournalSource" sheetId="9" r:id="rId9"/>
    <sheet name="Additions" sheetId="17" r:id="rId10"/>
    <sheet name="HelperSheet" sheetId="18" r:id="rId11"/>
    <sheet name="Assumptions" sheetId="22" r:id="rId12"/>
  </sheets>
  <definedNames>
    <definedName name="_xleta.N" hidden="1" xlm="1">#NAME?</definedName>
    <definedName name="FinancialYearList">DataValidation!$C$6:INDEX(DataValidation!$C$6:$C$100,COUNTIF(DataValidation!$C$6:$C$100,"?*"))</definedName>
    <definedName name="_xlnm.Print_Area" localSheetId="10">HelperSheet!$A$1:$K$56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8" l="1"/>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C23" i="21"/>
  <c r="C24" i="21"/>
  <c r="C25" i="21"/>
  <c r="C26" i="21"/>
  <c r="C27" i="2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62" i="21"/>
  <c r="C63" i="21"/>
  <c r="C64" i="21"/>
  <c r="C65" i="21"/>
  <c r="C66" i="21"/>
  <c r="C67" i="21"/>
  <c r="C68" i="21"/>
  <c r="C69" i="21"/>
  <c r="C70" i="21"/>
  <c r="C71"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7" i="21"/>
  <c r="C8" i="21"/>
  <c r="C9" i="21"/>
  <c r="C10" i="21"/>
  <c r="C11" i="21"/>
  <c r="C12" i="21"/>
  <c r="C13" i="21"/>
  <c r="C14" i="21"/>
  <c r="C15" i="21"/>
  <c r="C16" i="21"/>
  <c r="C17" i="21"/>
  <c r="C18" i="21"/>
  <c r="C19" i="21"/>
  <c r="C20" i="21"/>
  <c r="C21" i="21"/>
  <c r="C22" i="21"/>
  <c r="C6" i="21"/>
</calcChain>
</file>

<file path=xl/sharedStrings.xml><?xml version="1.0" encoding="utf-8"?>
<sst xmlns="http://schemas.openxmlformats.org/spreadsheetml/2006/main" count="779" uniqueCount="554">
  <si>
    <t>Missing/Duplicate Code</t>
  </si>
  <si>
    <t>Which Sheet to Adjust</t>
  </si>
  <si>
    <t>Comment</t>
  </si>
  <si>
    <t>Account Code</t>
  </si>
  <si>
    <t>Account Code Description (Optional, for your help only)</t>
  </si>
  <si>
    <t>Account Code Pay / Non-Pay Field</t>
  </si>
  <si>
    <t>Account Code VAT Status</t>
  </si>
  <si>
    <t>Account Code Reporting Category 1</t>
  </si>
  <si>
    <t>Account Code Reporting Category 2</t>
  </si>
  <si>
    <t>Override Check (Formula)</t>
  </si>
  <si>
    <t>Generated Unique Transaction Number</t>
  </si>
  <si>
    <t>PO Number</t>
  </si>
  <si>
    <t>PO Line</t>
  </si>
  <si>
    <t>Entity 1</t>
  </si>
  <si>
    <t>Entity Operator</t>
  </si>
  <si>
    <t>Entity 2 (if applicable)</t>
  </si>
  <si>
    <t>Cost Centre 1</t>
  </si>
  <si>
    <t>Cost Centre Operator</t>
  </si>
  <si>
    <t>Cost Centre 2 (if applicable)</t>
  </si>
  <si>
    <t>Activity 1</t>
  </si>
  <si>
    <t>Activity Operator</t>
  </si>
  <si>
    <t>Activity 2 (if applicable)</t>
  </si>
  <si>
    <t>Auxiliary 1</t>
  </si>
  <si>
    <t>Auxiliary Operator</t>
  </si>
  <si>
    <t>Auxiliary 2 (if applicable)</t>
  </si>
  <si>
    <t>Intercompany 1</t>
  </si>
  <si>
    <t>Intercompany Operator</t>
  </si>
  <si>
    <t>Intercompany 2 (if applicable)</t>
  </si>
  <si>
    <t>Spare 1</t>
  </si>
  <si>
    <t>Spare Operator</t>
  </si>
  <si>
    <t>Spare 2 (if applicable)</t>
  </si>
  <si>
    <t>Account Code Override Reporting Category 1</t>
  </si>
  <si>
    <t>Account Code Override Reporting Category 2</t>
  </si>
  <si>
    <t>Account Code Override Pay / Non-Pay Field</t>
  </si>
  <si>
    <t>Account Code Override VAT Status</t>
  </si>
  <si>
    <t>Account Code CoM Override</t>
  </si>
  <si>
    <t>Lookup Key (Formula)</t>
  </si>
  <si>
    <t>Cost Centre Number</t>
  </si>
  <si>
    <t>Cost Centre Description (Optional, for your help only)</t>
  </si>
  <si>
    <t>Cost Centre Type</t>
  </si>
  <si>
    <t>Cost Centre Reporting Group 1</t>
  </si>
  <si>
    <t>Cost Centre Reporting Group 2</t>
  </si>
  <si>
    <t>Cost Centre Reporting Group 3</t>
  </si>
  <si>
    <t>Net Commitment Adjustment</t>
  </si>
  <si>
    <t>Adjustment Comment</t>
  </si>
  <si>
    <t>Journal Source</t>
  </si>
  <si>
    <t>Entity</t>
  </si>
  <si>
    <t>Cost Centre</t>
  </si>
  <si>
    <t>Auxiliary</t>
  </si>
  <si>
    <t>Activity</t>
  </si>
  <si>
    <t>Intercompany</t>
  </si>
  <si>
    <t>Spare</t>
  </si>
  <si>
    <t>Report</t>
  </si>
  <si>
    <t>PO Line Number</t>
  </si>
  <si>
    <t>Project Number</t>
  </si>
  <si>
    <t>Task Number</t>
  </si>
  <si>
    <t>Expenditure Type</t>
  </si>
  <si>
    <t>PO Header Description</t>
  </si>
  <si>
    <t>Line Description</t>
  </si>
  <si>
    <t>Month</t>
  </si>
  <si>
    <t>Year (YY)</t>
  </si>
  <si>
    <t>Value</t>
  </si>
  <si>
    <t>PO Amount</t>
  </si>
  <si>
    <t>PO Non Recoverable Tax</t>
  </si>
  <si>
    <t>Received Amount</t>
  </si>
  <si>
    <t>Invoiced Amount</t>
  </si>
  <si>
    <t>AccountCode</t>
  </si>
  <si>
    <t>CostCentre</t>
  </si>
  <si>
    <t>COMBINEDDATA HEADER CONFIGURATION</t>
  </si>
  <si>
    <t>Setting</t>
  </si>
  <si>
    <t>Combined Reporting Workbook</t>
  </si>
  <si>
    <t>Header - Report Name</t>
  </si>
  <si>
    <t>Report Name</t>
  </si>
  <si>
    <t>Header - Mapping Transaction Reference</t>
  </si>
  <si>
    <t>Mapping Transaction Reference</t>
  </si>
  <si>
    <t>Header Row</t>
  </si>
  <si>
    <t>Header - PO : PO Line Number</t>
  </si>
  <si>
    <t>PO : PO Line Number</t>
  </si>
  <si>
    <t>Data Start Row</t>
  </si>
  <si>
    <t>Header - Entity</t>
  </si>
  <si>
    <t>Prompt For Missing Workbook</t>
  </si>
  <si>
    <t>Yes</t>
  </si>
  <si>
    <t>Header - Cost Centre</t>
  </si>
  <si>
    <t>Save Combined Reporting After Update</t>
  </si>
  <si>
    <t>Header - Account</t>
  </si>
  <si>
    <t>Account</t>
  </si>
  <si>
    <t>Close Combined Reporting After Update</t>
  </si>
  <si>
    <t>No</t>
  </si>
  <si>
    <t>Header - Activity</t>
  </si>
  <si>
    <t>Code / Description Separator</t>
  </si>
  <si>
    <t>:</t>
  </si>
  <si>
    <t>Header - Auxiliary</t>
  </si>
  <si>
    <t>PO / PO Line Separator</t>
  </si>
  <si>
    <t>Header - Intercompany</t>
  </si>
  <si>
    <t>Header - Spare</t>
  </si>
  <si>
    <t>Exact Reference Case Sensitive</t>
  </si>
  <si>
    <t>Header - DTR Journal Source</t>
  </si>
  <si>
    <t>Source Data | DTR | Journal Source</t>
  </si>
  <si>
    <t>CDEL Account Prefix</t>
  </si>
  <si>
    <t>Header - DTR Native CoM</t>
  </si>
  <si>
    <t>Source Data | DTR | CoM</t>
  </si>
  <si>
    <t>RAD Account Prefix</t>
  </si>
  <si>
    <t>Header - PO Native CoM</t>
  </si>
  <si>
    <t>Source Data | PO | CoM</t>
  </si>
  <si>
    <t>RDEL Account Prefixes</t>
  </si>
  <si>
    <t>4,5</t>
  </si>
  <si>
    <t>Header - Account Code CoM</t>
  </si>
  <si>
    <t>Account Table Name</t>
  </si>
  <si>
    <t>MappingAccountTable</t>
  </si>
  <si>
    <t>Header - Account Pay / Non-Pay</t>
  </si>
  <si>
    <t>Account Override Table Name</t>
  </si>
  <si>
    <t>MappingAccountOverrideTable</t>
  </si>
  <si>
    <t>Header - Account VAT Status</t>
  </si>
  <si>
    <t>Cost Centre Table Name</t>
  </si>
  <si>
    <t>MappingCostCentreTable</t>
  </si>
  <si>
    <t>Header - Reporting Category 1</t>
  </si>
  <si>
    <t>PO Adjustment Table Name</t>
  </si>
  <si>
    <t>MappingPOAdjustmentTable</t>
  </si>
  <si>
    <t>Header - Reporting Category 2</t>
  </si>
  <si>
    <t>Journal Source Table Name</t>
  </si>
  <si>
    <t>MappingJournalSourceTable</t>
  </si>
  <si>
    <t>Header - Account Code Override</t>
  </si>
  <si>
    <t>Mapping Error Table Name</t>
  </si>
  <si>
    <t>MappingErrorTable</t>
  </si>
  <si>
    <t>Header - Cost Centre Lookup Basis</t>
  </si>
  <si>
    <t>Header - Cost Centre Type</t>
  </si>
  <si>
    <t>Header - Reporting Group 1</t>
  </si>
  <si>
    <t>Header - Reporting Group 2</t>
  </si>
  <si>
    <t>Header - Reporting Group 3</t>
  </si>
  <si>
    <t>Header - Journal Source Classification</t>
  </si>
  <si>
    <t>Journal Source Classification</t>
  </si>
  <si>
    <t>Header - PO Net Amount</t>
  </si>
  <si>
    <t>PO Net Amount</t>
  </si>
  <si>
    <t>Header - Receipted Amount</t>
  </si>
  <si>
    <t>Receipted Amount</t>
  </si>
  <si>
    <t>Header - PO Non-Recoverable Tax Rate</t>
  </si>
  <si>
    <t>PO Non-Recoverable Tax Rate</t>
  </si>
  <si>
    <t>Header - Remaining Net Amount</t>
  </si>
  <si>
    <t>Remaining Net Amount</t>
  </si>
  <si>
    <t>Header - Remaining Tax Amount</t>
  </si>
  <si>
    <t>Remaining Tax Amount</t>
  </si>
  <si>
    <t>Header - Remaining Gross Amount</t>
  </si>
  <si>
    <t>Remaining Gross Amount</t>
  </si>
  <si>
    <t>Header - Net Commitment Adjustment</t>
  </si>
  <si>
    <t>Header - Net Commitment Adjustment Comment</t>
  </si>
  <si>
    <t>Header - Error Comment Column</t>
  </si>
  <si>
    <t>Error Comment Column</t>
  </si>
  <si>
    <t>Error Status</t>
  </si>
  <si>
    <t>Timestamp</t>
  </si>
  <si>
    <t>Procedure</t>
  </si>
  <si>
    <t>What went wrong</t>
  </si>
  <si>
    <t>Recommended action</t>
  </si>
  <si>
    <t>Header Base Text</t>
  </si>
  <si>
    <t>Save Mapping Workbook After Update</t>
  </si>
  <si>
    <t>Errors Sheet Name</t>
  </si>
  <si>
    <t>Errors</t>
  </si>
  <si>
    <t>Account Sheet Name</t>
  </si>
  <si>
    <t>Account Override Sheet Name</t>
  </si>
  <si>
    <t>AccountCodeOverride</t>
  </si>
  <si>
    <t>Cost Centre Sheet Name</t>
  </si>
  <si>
    <t>PO Adjustment Sheet Name</t>
  </si>
  <si>
    <t>POAdjustment</t>
  </si>
  <si>
    <t>Journal Source Sheet Name</t>
  </si>
  <si>
    <t>JournalSource</t>
  </si>
  <si>
    <t>Header - PO Non-Recoverable Tax Amount</t>
  </si>
  <si>
    <t>PO Non-Recoverable Tax Amount</t>
  </si>
  <si>
    <t>Header - PO Gross Amount</t>
  </si>
  <si>
    <t>PO Gross Amount</t>
  </si>
  <si>
    <t>Header - Net Commitment Adjustment Tax</t>
  </si>
  <si>
    <t>Account Code Reporting Category 3</t>
  </si>
  <si>
    <t>Account Code Override Reporting Category 3</t>
  </si>
  <si>
    <t>Header - Reporting Category 3</t>
  </si>
  <si>
    <t>Error Reference</t>
  </si>
  <si>
    <t>Workbook</t>
  </si>
  <si>
    <t>Module</t>
  </si>
  <si>
    <t>Operation</t>
  </si>
  <si>
    <t>VBA Error Number</t>
  </si>
  <si>
    <t>VBA Error Source</t>
  </si>
  <si>
    <t>VBA Line (Erl)</t>
  </si>
  <si>
    <t>Likely cause</t>
  </si>
  <si>
    <t>RUN SETTINGS</t>
  </si>
  <si>
    <t>What it controls</t>
  </si>
  <si>
    <t>When to change</t>
  </si>
  <si>
    <t>Extension-independent name or path hint for the Combined Reporting workbook.</t>
  </si>
  <si>
    <t>Enter the base name without .xlsx/.xlsm/.xlsb/.xls if preferred. Change when the maintained workbook is renamed or moved.</t>
  </si>
  <si>
    <t>CombinedData row containing the suffixed field names.</t>
  </si>
  <si>
    <t>Change only if the maintained CombinedData layout is formally redesigned.</t>
  </si>
  <si>
    <t>First CombinedData data row.</t>
  </si>
  <si>
    <t>Must remain below Header Row; change only with a formal layout redesign.</t>
  </si>
  <si>
    <t>Whether a file picker appears if the configured Combined Reporting workbook is not already open or found.</t>
  </si>
  <si>
    <t>Choose Yes or No.</t>
  </si>
  <si>
    <t>Whether the Mapping run saves Combined Reporting after updating it.</t>
  </si>
  <si>
    <t>Whether a Combined Reporting workbook opened by the macro is closed after the update.</t>
  </si>
  <si>
    <t>Choose Yes or No. An already-open workbook remains under user control.</t>
  </si>
  <si>
    <t>Whether this Mapping workbook is saved after a successful update.</t>
  </si>
  <si>
    <t>Separator between a code and description.</t>
  </si>
  <si>
    <t>Change only if the maintained CombinedData convention changes.</t>
  </si>
  <si>
    <t>Separator in the combined PO and PO Line field.</t>
  </si>
  <si>
    <t>Whether exact transaction-reference matching distinguishes upper/lower case.</t>
  </si>
  <si>
    <t>Choose Yes or No; normally leave Yes.</t>
  </si>
  <si>
    <t>Prefix used to infer CDEL colour of money.</t>
  </si>
  <si>
    <t>Change only if the finance coding convention changes.</t>
  </si>
  <si>
    <t>Prefix used to infer RAD colour of money.</t>
  </si>
  <si>
    <t>Comma-separated prefixes used to infer RDEL colour of money.</t>
  </si>
  <si>
    <t>MAPPING TABLE LOCATIONS</t>
  </si>
  <si>
    <t>Live structural settings for the maintained Mapping sheets and Excel tables.</t>
  </si>
  <si>
    <t>Name of the maintained worksheet used by the Mapping process.</t>
  </si>
  <si>
    <t>Change only when that worksheet or table is formally renamed.</t>
  </si>
  <si>
    <t>Name of the maintained Excel table used by the Mapping process.</t>
  </si>
  <si>
    <t>Additions Sheet Name</t>
  </si>
  <si>
    <t>Additions</t>
  </si>
  <si>
    <t>Additions Table Name</t>
  </si>
  <si>
    <t>MappingAdditionsTable</t>
  </si>
  <si>
    <t>ERROR DIAGNOSTICS - give these details to support</t>
  </si>
  <si>
    <t>Automatic output. Quote the Error Reference, Module, Procedure and Operation.</t>
  </si>
  <si>
    <t>Diagnostic field</t>
  </si>
  <si>
    <t>Latest value</t>
  </si>
  <si>
    <t>What it tells you</t>
  </si>
  <si>
    <t>Editing</t>
  </si>
  <si>
    <t>Written automatically when a run stops.</t>
  </si>
  <si>
    <t>Automatic - do not edit.</t>
  </si>
  <si>
    <t>Exact failure time.</t>
  </si>
  <si>
    <t>Stable checkpoint code to quote to support.</t>
  </si>
  <si>
    <t>Workbook in which the process was running.</t>
  </si>
  <si>
    <t>VBA module that recorded the failure.</t>
  </si>
  <si>
    <t>VBA procedure that recorded the failure.</t>
  </si>
  <si>
    <t>Specific operation in progress at the checkpoint.</t>
  </si>
  <si>
    <t>Excel/VBA error number.</t>
  </si>
  <si>
    <t>Reported VBA error source.</t>
  </si>
  <si>
    <t>Numbered VBA line reached, where available.</t>
  </si>
  <si>
    <t>Original error description.</t>
  </si>
  <si>
    <t>Plain-language diagnostic guidance.</t>
  </si>
  <si>
    <t>Suggested next step.</t>
  </si>
  <si>
    <t>Mapping - Corporate Trans</t>
  </si>
  <si>
    <t>A short guide to the maintained Mapping workbook. Routine choices belong on HelperSheet; mapping values belong in the named Excel tables. Progress appears in a modeless window and the Excel status bar.</t>
  </si>
  <si>
    <t>ROUTINE WORKFLOW</t>
  </si>
  <si>
    <t>STEP 1</t>
  </si>
  <si>
    <t>Open only the source reports needed for the run.</t>
  </si>
  <si>
    <t>STEP 2</t>
  </si>
  <si>
    <t>Run the Combined Reporting refresh from its HelperSheet.</t>
  </si>
  <si>
    <t>STEP 3</t>
  </si>
  <si>
    <t>Maintain mapping values in the relevant table, then use Run Mapping update on HelperSheet.</t>
  </si>
  <si>
    <t>STEP 4</t>
  </si>
  <si>
    <t>EDIT THESE</t>
  </si>
  <si>
    <t>AUTOMATIC SAFEGUARDS</t>
  </si>
  <si>
    <t>Blue HelperSheet cells: routine Yes/No choices and report defaults.</t>
  </si>
  <si>
    <t>Financial-year headings such as 26/27 and 27/28 resolve through #FINANCIAL_YEAR.</t>
  </si>
  <si>
    <t>Pink/orchid HelperSheet cells: structural settings; change only after an agreed layout change.</t>
  </si>
  <si>
    <t>YTD headings such as YTD(Jul) and YTD(Aug) resolve through #YTD_MONTH.</t>
  </si>
  <si>
    <t>Named mapping tables: the actual account, cost-centre, override, journal and project-budget mappings.</t>
  </si>
  <si>
    <t>Grey HelperSheet cells: automatic audit or error output; do not edit.</t>
  </si>
  <si>
    <t>Failures record an Error Reference, module, procedure, operation, VBA error and line number where available.</t>
  </si>
  <si>
    <t>DYNAMIC COLUMN MAPPING</t>
  </si>
  <si>
    <t>Do not create a new Column Mapping row just because the financial year or YTD month has advanced.</t>
  </si>
  <si>
    <t>Keep #FINANCIAL_YEAR or #YTD_MONTH in the changing header level. Match Occurrence is only needed when the same resolved full header path genuinely appears more than once.</t>
  </si>
  <si>
    <t>Column Mapping is deliberately the final section on the Combined Reporting HelperSheet so it can expand without pushing routine controls around.</t>
  </si>
  <si>
    <t>IF A RUN STOPS</t>
  </si>
  <si>
    <t>Open HelperSheet and copy the Error Reference, Module, Procedure and Operation exactly.</t>
  </si>
  <si>
    <t>Also include the VBA Error Number, VBA Error Source and VBA Line (Erl) when populated.</t>
  </si>
  <si>
    <t>The progress window is temporary by design; it is not a worksheet control and leaves no stale progress bar behind.</t>
  </si>
  <si>
    <t>This row identifies the CombinedData 'Report Name' field by its base heading. The mapping macro reads Report Name_1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</si>
  <si>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Change only if this CombinedData base header is formally renamed. Do not add _1, _2 or _3.</t>
  </si>
  <si>
    <t>This row identifies the CombinedData 'Mapping Transaction Reference' field by its base heading. The mapping macro reads Mapping Transaction Reference_1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</si>
  <si>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'PO : PO Line Number' field by its base heading. The mapping macro reads PO : PO Line Number_1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</si>
  <si>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'Entity' field by its base heading. The mapping macro reads Entity_1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</si>
  <si>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'Cost Centre' field by its base heading. The mapping macro reads Cost Centre_1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</si>
  <si>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'Account' field by its base heading. The mapping macro reads Account_1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</si>
  <si>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'Activity' field by its base heading. The mapping macro reads Activity_1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</si>
  <si>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'Auxiliary' field by its base heading. The mapping macro reads Auxiliary_1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</si>
  <si>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'Intercompany' field by its base heading. The mapping macro reads Intercompany_1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</si>
  <si>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'Spare' field by its base heading. The mapping macro reads Spare_1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</si>
  <si>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'Source Data | DTR | Journal Source' field by its base heading. The mapping macro reads Source Data | DTR | Journal Source_1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</si>
  <si>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'Source Data | DTR | CoM' field by its base heading. The mapping macro reads Source Data | DTR | CoM_1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</si>
  <si>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'Source Data | PO | CoM' field by its base heading. The mapping macro reads Source Data | PO | CoM_1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</si>
  <si>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'PO Net Amount' field by its base heading. The mapping macro reads PO Net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</si>
  <si>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'Receipted Amount' field by its base heading. The mapping macro reads Receipted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</si>
  <si>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'PO Non-Recoverable Tax Rate' field by its base heading. The mapping macro reads PO Non-Recoverable Tax Rate_1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</si>
  <si>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'Remaining Net Amount' field by its base heading. The mapping macro reads Remaining Net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</si>
  <si>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'Remaining Tax Amount' field by its base heading. The mapping macro reads Remaining Tax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</si>
  <si>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'Remaining Gross Amount' field by its base heading. The mapping macro reads Remaining Gross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</si>
  <si>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'Error Comment Column' field by its base heading. The mapping macro reads Error Comment Column_1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</si>
  <si>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'PO Non-Recoverable Tax Amount' field by its base heading. The mapping macro reads PO Non-Recoverable Tax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</si>
  <si>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row identifies the CombinedData 'PO Gross Amount' field by its base heading. The mapping macro reads PO Gross Amount_1 as its working copy, then writes the result to the adjacent _1 / _2 / _3 fields. This avoids fixed column letters and keeps PivotTables consistent. Change only if CombinedReporting renames this logical field. A wrong value stops the update or sends a mapping result to the wrong field.</t>
  </si>
  <si>
    <t>This expanding list is deliberately last. Edit a header value only when the published CombinedData header changes.</t>
  </si>
  <si>
    <t>Dates and identifier fields are repaired before and after macros; Account Code, Cost Centre, PO Number and PO Line remain reliable text keys.</t>
  </si>
  <si>
    <t>MappingAccountOverrideTable | Account Code CoM Override</t>
  </si>
  <si>
    <t>Published CombinedData heading for 'Account Code CoM'. The table prefix identifies the maintained Mapping source.</t>
  </si>
  <si>
    <t>MappingAccountTable | Account Code Pay / Non-Pay Field</t>
  </si>
  <si>
    <t>Published CombinedData heading for 'Account Pay / Non-Pay'. The table prefix identifies the maintained Mapping source.</t>
  </si>
  <si>
    <t>MappingAccountTable | Account Code VAT Status</t>
  </si>
  <si>
    <t>Published CombinedData heading for 'Account VAT Status'. The table prefix identifies the maintained Mapping source.</t>
  </si>
  <si>
    <t>MappingAccountTable | Account Code Reporting Category 1</t>
  </si>
  <si>
    <t>Published CombinedData heading for 'Reporting Category 1'. The table prefix identifies the maintained Mapping source.</t>
  </si>
  <si>
    <t>MappingAccountTable | Account Code Reporting Category 2</t>
  </si>
  <si>
    <t>Published CombinedData heading for 'Reporting Category 2'. The table prefix identifies the maintained Mapping source.</t>
  </si>
  <si>
    <t>MappingAccountTable | Account Code Reporting Category 3</t>
  </si>
  <si>
    <t>Published CombinedData heading for 'Reporting Category 3'. The table prefix identifies the maintained Mapping source.</t>
  </si>
  <si>
    <t>MappingAccountOverrideTable | Override Applied</t>
  </si>
  <si>
    <t>Published CombinedData heading for 'Account Code Override'. The table prefix identifies the maintained Mapping source.</t>
  </si>
  <si>
    <t>MappingCostCentreTable | Lookup Basis</t>
  </si>
  <si>
    <t>Published CombinedData heading for 'Cost Centre Lookup Basis'. The table prefix identifies the maintained Mapping source.</t>
  </si>
  <si>
    <t>MappingCostCentreTable | Cost Centre Type</t>
  </si>
  <si>
    <t>Published CombinedData heading for 'Cost Centre Type'. The table prefix identifies the maintained Mapping source.</t>
  </si>
  <si>
    <t>MappingCostCentreTable | Cost Centre Reporting Group 1</t>
  </si>
  <si>
    <t>Published CombinedData heading for 'Reporting Group 1'. The table prefix identifies the maintained Mapping source.</t>
  </si>
  <si>
    <t>MappingCostCentreTable | Cost Centre Reporting Group 2</t>
  </si>
  <si>
    <t>Published CombinedData heading for 'Reporting Group 2'. The table prefix identifies the maintained Mapping source.</t>
  </si>
  <si>
    <t>MappingCostCentreTable | Cost Centre Reporting Group 3</t>
  </si>
  <si>
    <t>Published CombinedData heading for 'Reporting Group 3'. The table prefix identifies the maintained Mapping source.</t>
  </si>
  <si>
    <t>MappingJournalSourceTable | Journal Source Classification</t>
  </si>
  <si>
    <t>Published CombinedData heading for 'Journal Source Classification'. The table prefix identifies the maintained Mapping source.</t>
  </si>
  <si>
    <t>MappingPOAdjustmentTable | Net Commitment Adjustment</t>
  </si>
  <si>
    <t>Published CombinedData heading for 'Net Commitment Adjustment'. The table prefix identifies the maintained Mapping source.</t>
  </si>
  <si>
    <t>MappingPOAdjustmentTable | Net Commitment Adjustment Tax</t>
  </si>
  <si>
    <t>Published CombinedData heading for 'Net Commitment Adjustment Tax'. The table prefix identifies the maintained Mapping source.</t>
  </si>
  <si>
    <t>MappingPOAdjustmentTable | Adjustment Comment</t>
  </si>
  <si>
    <t>Published CombinedData heading for 'Net Commitment Adjustment Comment'. The table prefix identifies the maintained Mapping source.</t>
  </si>
  <si>
    <t>April Forecast</t>
  </si>
  <si>
    <t>May Forecast</t>
  </si>
  <si>
    <t>June Forecast</t>
  </si>
  <si>
    <t>July Forecast</t>
  </si>
  <si>
    <t>August Forecast</t>
  </si>
  <si>
    <t>October Forecast</t>
  </si>
  <si>
    <t>September Forecast</t>
  </si>
  <si>
    <t>November Forecast</t>
  </si>
  <si>
    <t>December Forecast</t>
  </si>
  <si>
    <t>January Forecast</t>
  </si>
  <si>
    <t>February Forecast</t>
  </si>
  <si>
    <t>March Forecast</t>
  </si>
  <si>
    <t>PO Comments</t>
  </si>
  <si>
    <t>Financial Year</t>
  </si>
  <si>
    <t>Error Message</t>
  </si>
  <si>
    <t>Account Code Reporting Category 4</t>
  </si>
  <si>
    <t>Account Code Override Reporting Category 4</t>
  </si>
  <si>
    <t>Header - Reporting Category 4</t>
  </si>
  <si>
    <t>MappingAccountTable | Account Code Reporting Category 4</t>
  </si>
  <si>
    <t>Published CombinedData heading for 'Reporting Category 4'. The table prefix identifies the maintained Mapping source.</t>
  </si>
  <si>
    <t>PO Forecast Allocation</t>
  </si>
  <si>
    <t>Enter PO number and line, financial year, monthly April-March forecasts and an optional PO comment. The Combined Reporting refresh validates each PO/line against PO report rows.</t>
  </si>
  <si>
    <t>Blue table cells are maintained inputs. Error Message is automatic and records the date when a PO/line is missing from the PO report.</t>
  </si>
  <si>
    <t>Lookup Key is automatic. Do not type over the formula column.</t>
  </si>
  <si>
    <t>Project budgets are supplied by the PBCS report. No separate project-budget report, worksheet or update is required.</t>
  </si>
  <si>
    <t>CombinedData</t>
  </si>
  <si>
    <t>Added column</t>
  </si>
  <si>
    <t>Additional copies</t>
  </si>
  <si>
    <t>Total fields</t>
  </si>
  <si>
    <t>Report Name &amp; Report Date</t>
  </si>
  <si>
    <t>Full Report Details</t>
  </si>
  <si>
    <t>Report Version</t>
  </si>
  <si>
    <t>Report Name - Report Version</t>
  </si>
  <si>
    <t>Report Name - Measure Name</t>
  </si>
  <si>
    <t>Report Extract Date</t>
  </si>
  <si>
    <t>Amount</t>
  </si>
  <si>
    <t>Original Amount</t>
  </si>
  <si>
    <t>Measure Name</t>
  </si>
  <si>
    <t>Financial Month</t>
  </si>
  <si>
    <t>Accounting Period</t>
  </si>
  <si>
    <t>AP - Financial Month</t>
  </si>
  <si>
    <t>AP - Financial Month (Dropped Year)</t>
  </si>
  <si>
    <t>Project Description</t>
  </si>
  <si>
    <t>Project Number : Project Description</t>
  </si>
  <si>
    <t>Project Task Number : Project Task Description</t>
  </si>
  <si>
    <t>PO Header Description : PO Line Description</t>
  </si>
  <si>
    <t>PO Number : PO Description</t>
  </si>
  <si>
    <t>PO Line : PO Line Description</t>
  </si>
  <si>
    <t>Supplier : PO</t>
  </si>
  <si>
    <t>PO Related</t>
  </si>
  <si>
    <t>PO Comment</t>
  </si>
  <si>
    <t>Supplier/Customer Name</t>
  </si>
  <si>
    <t>Employee Check</t>
  </si>
  <si>
    <t>PO Forecast Table Row</t>
  </si>
  <si>
    <t>Requisition Number</t>
  </si>
  <si>
    <t>Receipted Tax Amount</t>
  </si>
  <si>
    <t>Receipted Gross Amount</t>
  </si>
  <si>
    <t>Invoiced Net Amount</t>
  </si>
  <si>
    <t>Invoiced Tax Amount</t>
  </si>
  <si>
    <t>Invoiced Gross Amount</t>
  </si>
  <si>
    <t>DTR Last Receipt Date</t>
  </si>
  <si>
    <t>DTR Receipt Numbers</t>
  </si>
  <si>
    <t>DTR Invoice Numbers</t>
  </si>
  <si>
    <t>Receipting Gross Mar25-Mar25</t>
  </si>
  <si>
    <t>Receipting Gross Apr25-Mar26</t>
  </si>
  <si>
    <t>Receipting Gross Apr26-Aug26</t>
  </si>
  <si>
    <t>Assumptions</t>
  </si>
  <si>
    <t>Reference only</t>
  </si>
  <si>
    <t>Fixed rules in the current macros. Editing this table does not change their behaviour.</t>
  </si>
  <si>
    <t>Scope</t>
  </si>
  <si>
    <t>Editable settings, including header rows, file paths, field-copy counts and selected periods, are excluded.</t>
  </si>
  <si>
    <t>Area</t>
  </si>
  <si>
    <t>Item</t>
  </si>
  <si>
    <t>Fixed rule / assumption</t>
  </si>
  <si>
    <t>Running the macros</t>
  </si>
  <si>
    <t>Excel environment</t>
  </si>
  <si>
    <t>Use desktop Excel on Windows with VBA macros enabled. The macros use Windows/Excel objects and cannot run in browser-only Excel.</t>
  </si>
  <si>
    <t>Source reports</t>
  </si>
  <si>
    <t>Reports to import must be open in the same Excel session and recognisable by their expected fields. A filename alone does not establish the report type.</t>
  </si>
  <si>
    <t>Writable workbooks</t>
  </si>
  <si>
    <t>The output workbook must be writable. Mapping also needs write access to save validation repairs and error messages. Source reports are read, not rewritten.</t>
  </si>
  <si>
    <t>Identifiers</t>
  </si>
  <si>
    <t>Cost-centre code</t>
  </si>
  <si>
    <t>The extracted source cost-centre code must be exactly 6 digits, with no letters. Rows failing this check are skipped. Example: 000123 is valid; CC1234 is not.</t>
  </si>
  <si>
    <t>Project number</t>
  </si>
  <si>
    <t>The extracted Project-report project number must be exactly 9 digits, with no letters. Example: 123456789. Hierarchy headings are not valid project rows.</t>
  </si>
  <si>
    <t>Other code widths</t>
  </si>
  <si>
    <t>Account and Activity use 8 digits; Auxiliary uses 6; Entity, Intercompany and Spare use 3. Matching normalises numeric codes to these widths.</t>
  </si>
  <si>
    <t>Leading zeroes</t>
  </si>
  <si>
    <t>Codes and tasks are identifiers, not amounts. Keep their original text or a source number format that displays the required zeroes. A raw 123 is not a valid six-digit source cost centre.</t>
  </si>
  <si>
    <t>Code plus description</t>
  </si>
  <si>
    <t>Combined code/description cells use recognised separators: "code : description" or "code - description". The code must remain identifiable before the description.</t>
  </si>
  <si>
    <t>Task numbers</t>
  </si>
  <si>
    <t>Task numbers are text. Preserve 01.02 exactly. Maintained Mapping task inputs use XX.XX; journal-description parsing has the more specific suffix rules listed below.</t>
  </si>
  <si>
    <t>Long numeric identifiers</t>
  </si>
  <si>
    <t>Excel may already have rounded identifiers beyond 15 significant digits. Supply long identifiers as text; formatting cannot reconstruct digits that have been lost.</t>
  </si>
  <si>
    <t>PO numbers and lines</t>
  </si>
  <si>
    <t>PO numbers are variable-length text, not fixed seven-digit codes. PO lines can contain sub-lines such as 2.1. A line-level key combines the PO and line.</t>
  </si>
  <si>
    <t>Matching PO representations</t>
  </si>
  <si>
    <t>PO/line matching ignores case and outer spaces but does not generally remove zeroes from text. Use the same meaningful representation across reports, e.g. text 01 is not assumed to equal text 1.</t>
  </si>
  <si>
    <t>Non-PO markers</t>
  </si>
  <si>
    <t>Blank PO values, NO_CMT, Unallocated and values starting with Unspecified are not treated as real purchase orders.</t>
  </si>
  <si>
    <t>Projects and tasks</t>
  </si>
  <si>
    <t>Project-related transaction</t>
  </si>
  <si>
    <t>A row is project-related when its normalised Activity code starts with 9 OR its normalised Expenditure Type is nonblank and not "Not Applicable".</t>
  </si>
  <si>
    <t>Finding the project</t>
  </si>
  <si>
    <t>Project-related rows use Cost Centre + Activity to find a project in Project-report evidence. That pair must identify one project; multiple projects are flagged as ambiguous.</t>
  </si>
  <si>
    <t>Finding a task with a PO</t>
  </si>
  <si>
    <t>DTR/PO task matching uses Project + PO number + Account + Auxiliary + normalised Expenditure Type. PO line is not part of this task key. Exactly one distinct task must match.</t>
  </si>
  <si>
    <t>Journal-description layout</t>
  </si>
  <si>
    <t>For DTR task matching without a real PO, the journal description uses comma-separated labels followed by colons: Project Number, Task Number, Transaction Number, Expenditure Category and Expenditure Type.</t>
  </si>
  <si>
    <t>Journal-description values</t>
  </si>
  <si>
    <t>The journal project is 9 digits. Task is digits followed by .01, .02 or .03. Transaction Number is nonblank; category is CDEL/RDEL/RAD; expenditure type is nonblank and not "Not Applicable".</t>
  </si>
  <si>
    <t>Journal cross-check</t>
  </si>
  <si>
    <t>The journal project must agree with the project linked from Cost Centre + Activity, and its task must exist for that project in Project-report evidence. Otherwise the link needs review.</t>
  </si>
  <si>
    <t>Expenditure-type prefixes</t>
  </si>
  <si>
    <t>Leading CDEL, RDEL or RAD is stripped only when followed by a space or hyphen. Example: "RDEL - Consultancy" is matched as "Consultancy".</t>
  </si>
  <si>
    <t>Task category check</t>
  </si>
  <si>
    <t>For the project review check, task suffix .01 means CDEL, .02 means RDEL and .03 means RAD.</t>
  </si>
  <si>
    <t>Account category check</t>
  </si>
  <si>
    <t>For the project review check, account first digit 1 means CDEL, 5 means RDEL and 6 means RAD. A task/account category mismatch warns but does not discard the row.</t>
  </si>
  <si>
    <t>Dates and periods</t>
  </si>
  <si>
    <t>Financial calendar</t>
  </si>
  <si>
    <t>The financial year runs April–March. AP01=Apr through AP12=Mar; Jan–Mar use the following calendar year. AP13 is the adjustment/prior-year-adjustment period.</t>
  </si>
  <si>
    <t>Year representation</t>
  </si>
  <si>
    <t>Financial-year labels use adjacent years, e.g. 25/26. Two-digit year components are interpreted as 20xx by the financial-year conversion routines.</t>
  </si>
  <si>
    <t>Readable source periods</t>
  </si>
  <si>
    <t>Source periods must be valid Excel dates or a supported period/year label. English month labels and ADJ/PYA are recognised. Blank or unreadable DTR/PO coverage cannot safely be guessed.</t>
  </si>
  <si>
    <t>Multi-year DTR and PO</t>
  </si>
  <si>
    <t>Coverage is the earliest to latest readable report month, even across financial years. Each transaction keeps its own period/year, not one year applied to the whole report.</t>
  </si>
  <si>
    <t>PO period year</t>
  </si>
  <si>
    <t>A month name or numeric AP in Purchasing needs its row financial year. Date-based periods can supply the year directly. PO amount periods must be readable from the report period/year fields.</t>
  </si>
  <si>
    <t>Last Actuals selection</t>
  </si>
  <si>
    <t>PBCS and Project require a deliberate Last Actuals selection before confirmation. The dropdown starts blank; 00 explicitly means no closed actual periods.</t>
  </si>
  <si>
    <t>Actual versus forecast</t>
  </si>
  <si>
    <t>For a dynamically classified measure, an AP at or before Last Actuals is Actual; a later AP is Forecast. This is a period comparison, not a test of whether the amount is positive.</t>
  </si>
  <si>
    <t>Extract timestamps</t>
  </si>
  <si>
    <t>An edited extract timestamp must be a valid supported UK, named-month or ISO date/time. It identifies the extract/snapshot, not the transaction date of every row.</t>
  </si>
  <si>
    <t>Year-bearing month label</t>
  </si>
  <si>
    <t>The full month label includes the financial year, e.g. 25/26 01-Apr. It must not be confused with the separate dropped-year 01-Apr label.</t>
  </si>
  <si>
    <t>Amounts and forecasts</t>
  </si>
  <si>
    <t>Monthly source rows</t>
  </si>
  <si>
    <t>Monthly amounts on one PBCS/Project line share that line’s coding. Unpivoting makes separate month rows while reusing those shared mappings.</t>
  </si>
  <si>
    <t>Blank versus zero</t>
  </si>
  <si>
    <t>Blank means no supplied value and is not automatically zero. Numeric zero is a supplied amount; zero-valued maintained monthly forecasts can still create allocation rows.</t>
  </si>
  <si>
    <t>Allocation eligibility</t>
  </si>
  <si>
    <t>PO allocation starts from PBCS Forecast rows for AP01–AP12 with no real PO already attached. Actual, Budget and AP13 rows are not monthly allocation bases.</t>
  </si>
  <si>
    <t>Allocation match</t>
  </si>
  <si>
    <t>A maintained PO forecast needs PO-report evidence for that PO/line. It matches a PBCS base by financial year, month, Cost Centre, Account, Activity and Auxiliary.</t>
  </si>
  <si>
    <t>Repeated forecast groups</t>
  </si>
  <si>
    <t>Maintained forecast lines in the same group/month are added together. Each eligible PBCS base gets that group’s allocation, so unintended duplicate bases or rules can repeat allocations.</t>
  </si>
  <si>
    <t>Allocation balance</t>
  </si>
  <si>
    <t>The unallocated base is Original Amount minus the maintained PO forecast total. Generated PO lines carry the allocated amounts. Allocation above the original forecast raises a review warning.</t>
  </si>
  <si>
    <t>Rounding</t>
  </si>
  <si>
    <t>PO forecast lines, adjustments and affected commitment totals are rounded to two decimal places. Do not expect sub-penny allocation detail to survive as published amounts.</t>
  </si>
  <si>
    <t>Re-running allocations</t>
  </si>
  <si>
    <t>Previous generated allocation rows are removed and original base amounts restored before reallocating. Keep generated allocation markers and Original Amount intact.</t>
  </si>
  <si>
    <t>Purchasing and receipts</t>
  </si>
  <si>
    <t>Receipt-event identification</t>
  </si>
  <si>
    <t>For DTR receipt evidence, a blank Invoice Number identifies a receipt event. A populated Invoice Number is collected as invoice evidence, not also counted as a receipt.</t>
  </si>
  <si>
    <t>Receipt totals and dates</t>
  </si>
  <si>
    <t>Receipt totals use DTR Accounted Amount for the matching PO/line and financial-period range. Last receipt date uses the latest valid GL Journal Date among receipt events.</t>
  </si>
  <si>
    <t>PO tax basis</t>
  </si>
  <si>
    <t>Non-recoverable tax rate is source PO Non-Recoverable Tax divided by source PO Amount. Net amount must be nonzero to derive it. No standard VAT percentage is assumed.</t>
  </si>
  <si>
    <t>Missing/invalid tax basis</t>
  </si>
  <si>
    <t>Mapping-only adjustment calculations require a numeric tax rate between 0 and 1. Missing/invalid tax leaves dependent tax/gross results blank with a warning.</t>
  </si>
  <si>
    <t>Commitment adjustment</t>
  </si>
  <si>
    <t>The net adjustment changes both the PO net amount and remaining net commitment. Associated tax uses the PO-derived rate. Old adjustments are removed before applying current ones.</t>
  </si>
  <si>
    <t>Negative commitments</t>
  </si>
  <si>
    <t>A negative remaining net commitment is retained for review; remaining tax/gross are not filled as if the balance were a normal non-negative commitment.</t>
  </si>
  <si>
    <t>Linked-detail priority</t>
  </si>
  <si>
    <t>For ordinary linked PO details, evidence priority is Purchasing, then DTR, then Project, then other rows. For project-specific details, Project takes priority. The first equal-priority nonblank value wins.</t>
  </si>
  <si>
    <t>Mapping rules</t>
  </si>
  <si>
    <t>Override priority</t>
  </si>
  <si>
    <t>Account overrides use transaction reference first, then PO + line, then account-and-dimension conditions. Journal mappings similarly layer specific rules over ordinary source mappings.</t>
  </si>
  <si>
    <t>Duplicate/overlapping rules</t>
  </si>
  <si>
    <t>Avoid conflicting duplicate keys or overlapping overrides. The code can choose a maintained candidate and flag ambiguity; a returned category does not mean the rule set is unambiguous.</t>
  </si>
  <si>
    <t>Blank account overrides</t>
  </si>
  <si>
    <t>A blank account-override return generally leaves the corresponding base classification in place. It is not an instruction to clear that classification.</t>
  </si>
  <si>
    <t>Comparison operators</t>
  </si>
  <si>
    <t>Supported operators are Equals, Not Equal To, Between, Starts With, Ends With, Contains, Greater Than and Less Than. Between includes both boundaries.</t>
  </si>
  <si>
    <t>Comparison meaning</t>
  </si>
  <si>
    <t>Rule comparisons trim outer spaces and ignore letter case. Numeric inputs use numeric comparisons; otherwise comparisons are textual. Numeric Between accepts either boundary order.</t>
  </si>
  <si>
    <t>PO override inputs</t>
  </si>
  <si>
    <t>Maintained line-specific override inputs require both PO Number and PO Line, or both blank. A PO-only commentary item is a separate matching rule, not a line-specific override.</t>
  </si>
  <si>
    <t>Base CoM fallback</t>
  </si>
  <si>
    <t>The general account-prefix fallback is 1…=CDEL, 59…=RAD, other 4…/5…=RDEL; otherwise Unknown. This differs from the separate project category-check rule.</t>
  </si>
  <si>
    <t>Accepted Pay/Non-Pay</t>
  </si>
  <si>
    <t>The current validator accepts Pay, Non-Pay or "Unknown - AccountCode Pay / Non-Pay". Other wording is not treated as a valid classification.</t>
  </si>
  <si>
    <t>Accepted VAT status</t>
  </si>
  <si>
    <t>The input is free text, but the current validator accepts only Recoverable, Non-Recoverable or "Unknown - AccountCode VAT Status". Free entry does not mean every status is accepted.</t>
  </si>
  <si>
    <t>Accepted CoM override</t>
  </si>
  <si>
    <t>The validator accepts CDEL, RDEL, RAD, Project CDEL, Project RDEL, Project RAD or "Unknown - AccountCodeOverride CoM".</t>
  </si>
  <si>
    <t>Commentary</t>
  </si>
  <si>
    <t>Supported matching keys</t>
  </si>
  <si>
    <t>Commentary attaches through any supported key: transaction reference, PO + line, whole PO, Project + Task, or the complete Account + Cost Centre + Activity + Auxiliary combination.</t>
  </si>
  <si>
    <t>Complete coding key</t>
  </si>
  <si>
    <t>Coding-based commentary needs all four valid numeric codes: Account 8 digits, Cost Centre 6, Activity 8 and Auxiliary 6. A partial combination is not a wildcard.</t>
  </si>
  <si>
    <t>PO and project scope</t>
  </si>
  <si>
    <t>A PO with a line matches that line; a PO without a line can match the whole PO. Project-based commentary requires a valid nine-digit project AND nonblank task, not project number alone.</t>
  </si>
  <si>
    <t>Cross-year scope</t>
  </si>
  <si>
    <t>PO, project/task and four-code commentary keys do not restrict financial year or extract timestamp. The same comment can therefore attach to matching rows across periods or snapshots.</t>
  </si>
  <si>
    <t>Reference scope</t>
  </si>
  <si>
    <t>Commentary matching uses the base part of the transaction reference, before its generated hash/occurrence suffix. It can therefore reach more rows than an exact full-reference mapping override.</t>
  </si>
  <si>
    <t>All matches and unmatched items</t>
  </si>
  <si>
    <t>Every matching financial row receives the commentary. Only an item with no financial match gets a separate comment-only row, with a blank Amount. Duplicate joined text is not repeated unnecessarily.</t>
  </si>
  <si>
    <t>Hierarchical report codes</t>
  </si>
  <si>
    <t>In the Commentary report, a blank coding cell carries forward the previous valid code. A nonblank invalid code clears that carried value; it does not inherit the previous code.</t>
  </si>
  <si>
    <t>Edits and deletions</t>
  </si>
  <si>
    <t>Source comment items are retained for later matching; current Mapping comments are reread. Editing/deleting a Mapping comment takes effect when the mapping/combined refresh is run.</t>
  </si>
  <si>
    <t>Records and output</t>
  </si>
  <si>
    <t>Repeated transactions</t>
  </si>
  <si>
    <t>Identical-looking transactions may be genuine repeats. Mapping references use line content and occurrence information; do not manually replace them with a non-unique transaction number.</t>
  </si>
  <si>
    <t>Forecast snapshots</t>
  </si>
  <si>
    <t>An extract timestamp can identify a separate forecast snapshot. Similar rows from different snapshots are not automatically errors or safe to delete.</t>
  </si>
  <si>
    <t>Original-source columns</t>
  </si>
  <si>
    <t>Org columns are source positions, not common business meanings. Column 5 can mean different things in different reports; use the combined heading and report identity to interpret it.</t>
  </si>
  <si>
    <t>Original text and typed values</t>
  </si>
  <si>
    <t>Visible Org values are text matching the source display. Typed original values are retained separately for calculations. Do not sum or date-filter Org text as if it were a typed reporting field.</t>
  </si>
  <si>
    <t>Hidden original evidence</t>
  </si>
  <si>
    <t>Keep the hidden original-record, schema, link and source-comment stores intact. Mapping-only updates and additional source details rely on those links when source reports are closed.</t>
  </si>
  <si>
    <t>Field copies and PivotTables</t>
  </si>
  <si>
    <t>Only added reporting fields are copied; Org fields appear once. Copies allow the same dimension in Pivot filters and rows. A field currently used by a PivotTable cannot be removed silently.</t>
  </si>
  <si>
    <t>Row order and references</t>
  </si>
  <si>
    <t>Some linked-value choices depend on record order. The macros keep a separate logical-order ledger while stabilising visible row positions; preserve its reference links.</t>
  </si>
  <si>
    <t>Cache validity</t>
  </si>
  <si>
    <t>Saved results are reusable only when their typed inputs and linked dependencies match. Missing or invalid calculation cache data falls back to normal calculation, not a guessed result.</t>
  </si>
  <si>
    <t>Additional Pivot details</t>
  </si>
  <si>
    <t>Extra columns beside a PivotTable use its row criteria and report filters. They are generated values, not automatically updating formulas; rerun Add/Refresh Additional Details after changes.</t>
  </si>
  <si>
    <t>Excel storage limits</t>
  </si>
  <si>
    <t>The expanded output must fit Excel’s worksheet and cell limits: 1,048,576 rows, 16,384 columns and 32,767 characters per cell. Long joined commentary cannot exceed one cell’s capacity.</t>
  </si>
  <si>
    <t>Source</t>
  </si>
  <si>
    <t>Current VBA in the v25 Mapping and CombinedData workbooks; standard Excel storage limits.</t>
  </si>
  <si>
    <t>ADDED COLUMN COPIES - v28</t>
  </si>
  <si>
    <t>Mapping - Blank template (v28)</t>
  </si>
  <si>
    <t>Blank template. Enter mapping records in the named tables. Keep this file beside CombinedData.xlsm and import reports before updating the combined data.</t>
  </si>
  <si>
    <t>Copies apply to added fields only. Mapping updates apply copy-count changes with PivotTable safeguards. Original source columns remain available once.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</si>
</sst>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name val="Carlito"/>
    </font>
    <font>
      <sz val="11"/>
      <name val="Aptos"/>
      <family val="2"/>
    </font>
    <font>
      <b/>
      <sz val="11"/>
      <name val="Carlito"/>
    </font>
    <font>
      <sz val="10"/>
      <color rgb="FF273444"/>
      <name val="Aptos"/>
      <family val="2"/>
    </font>
    <font>
      <sz val="8"/>
      <name val="Carlito"/>
    </font>
    <font>
      <b/>
      <sz val="11"/>
      <color rgb="FFFBFCFD"/>
      <name val="Aptos"/>
      <family val="2"/>
    </font>
    <font>
      <b/>
      <sz val="16"/>
      <color rgb="FFFBFCFD"/>
      <name val="Aptos"/>
      <family val="2"/>
    </font>
    <font>
      <b/>
      <sz val="9"/>
      <color rgb="FFFBFCFD"/>
      <name val="Aptos"/>
      <family val="2"/>
    </font>
    <font>
      <sz val="9"/>
      <color rgb="FF1F2A30"/>
      <name val="Aptos"/>
      <family val="2"/>
    </font>
    <font>
      <b/>
      <sz val="9"/>
      <color rgb="FF1F2A30"/>
      <name val="Aptos"/>
      <family val="2"/>
    </font>
    <font>
      <sz val="11"/>
      <color rgb="FF1F2A30"/>
      <name val="Aptos"/>
      <family val="2"/>
    </font>
    <font>
      <b/>
      <sz val="18"/>
      <color rgb="FFFBFCFD"/>
      <name val="Aptos"/>
      <family val="2"/>
    </font>
    <font>
      <b/>
      <sz val="16"/>
      <color rgb="FFFBFCFD"/>
      <name val="Carlito"/>
    </font>
    <font>
      <b/>
      <sz val="9"/>
      <color rgb="FFFFFFFF"/>
      <name val="Aptos"/>
      <family val="2"/>
    </font>
    <font>
      <sz val="10"/>
      <name val="Aptos"/>
      <family val="2"/>
    </font>
    <font>
      <b/>
      <sz val="10"/>
      <color rgb="FFFFFFFF"/>
      <name val="Aptos"/>
      <family val="2"/>
    </font>
    <font>
      <sz val="10"/>
      <color rgb="FF0000FF"/>
      <name val="Aptos"/>
      <family val="2"/>
    </font>
    <font>
      <b/>
      <sz val="18"/>
      <color rgb="FF193D4D"/>
      <name val="Arial"/>
    </font>
    <font>
      <sz val="11"/>
      <color rgb="FF1F2A30"/>
      <name val="Arial"/>
    </font>
    <font>
      <i/>
      <sz val="10"/>
      <color rgb="FF51616C"/>
      <name val="Arial"/>
    </font>
    <font>
      <b/>
      <sz val="11"/>
      <color rgb="FFFFFFFF"/>
      <name val="Arial"/>
    </font>
    <font>
      <sz val="11"/>
      <color rgb="FF193D4D"/>
      <name val="Arial"/>
    </font>
  </fonts>
  <fills count="17">
    <fill>
      <patternFill patternType="none"/>
    </fill>
    <fill>
      <patternFill patternType="gray125"/>
    </fill>
    <fill>
      <patternFill patternType="solid">
        <fgColor theme="8" tint="0.79995117038483843"/>
        <bgColor indexed="65"/>
      </patternFill>
    </fill>
    <fill>
      <patternFill patternType="solid">
        <fgColor theme="8" tint="0.39997558519241921"/>
        <bgColor indexed="65"/>
      </patternFill>
    </fill>
    <fill>
      <patternFill patternType="solid">
        <fgColor rgb="FF123E54"/>
        <bgColor indexed="64"/>
      </patternFill>
    </fill>
    <fill>
      <patternFill patternType="solid">
        <fgColor rgb="FFF6F1E7"/>
        <bgColor indexed="64"/>
      </patternFill>
    </fill>
    <fill>
      <patternFill patternType="solid">
        <fgColor rgb="FF29708E"/>
        <bgColor indexed="64"/>
      </patternFill>
    </fill>
    <fill>
      <patternFill patternType="solid">
        <fgColor rgb="FFECE7F5"/>
        <bgColor indexed="64"/>
      </patternFill>
    </fill>
    <fill>
      <patternFill patternType="solid">
        <fgColor rgb="FFEDF1F3"/>
        <bgColor indexed="64"/>
      </patternFill>
    </fill>
    <fill>
      <patternFill patternType="solid">
        <fgColor rgb="FFDDEEF6"/>
        <bgColor indexed="64"/>
      </patternFill>
    </fill>
    <fill>
      <patternFill patternType="solid">
        <fgColor rgb="FF6E5AA0"/>
        <bgColor indexed="64"/>
      </patternFill>
    </fill>
    <fill>
      <patternFill patternType="solid">
        <fgColor rgb="FFF9E4EA"/>
        <bgColor indexed="64"/>
      </patternFill>
    </fill>
    <fill>
      <patternFill patternType="solid">
        <fgColor rgb="FF9B3B53"/>
        <bgColor indexed="64"/>
      </patternFill>
    </fill>
    <fill>
      <patternFill patternType="solid">
        <fgColor rgb="FFFFFFFF"/>
        <bgColor indexed="64"/>
      </patternFill>
    </fill>
    <fill>
      <patternFill patternType="solid">
        <fgColor rgb="FF173E50"/>
        <bgColor indexed="64"/>
      </patternFill>
    </fill>
    <fill>
      <patternFill patternType="solid">
        <fgColor rgb="FFDDEBF7"/>
        <bgColor indexed="64"/>
      </patternFill>
    </fill>
    <fill>
      <patternFill patternType="solid">
        <fgColor rgb="FF193D4D"/>
      </patternFill>
    </fill>
  </fills>
  <borders count="11">
    <border>
      <left/>
      <right/>
      <top/>
      <bottom/>
      <diagonal/>
    </border>
    <border>
      <left style="thin">
        <color rgb="FFC6CFD5"/>
      </left>
      <right/>
      <top style="thin">
        <color rgb="FFC6CFD5"/>
      </top>
      <bottom style="thin">
        <color rgb="FFC6CFD5"/>
      </bottom>
      <diagonal/>
    </border>
    <border>
      <left style="thin">
        <color rgb="FFC6CFD5"/>
      </left>
      <right style="thin">
        <color rgb="FFC6CFD5"/>
      </right>
      <top style="thin">
        <color rgb="FFC6CFD5"/>
      </top>
      <bottom style="thin">
        <color rgb="FFC6CFD5"/>
      </bottom>
      <diagonal/>
    </border>
    <border>
      <left/>
      <right/>
      <top style="thin">
        <color rgb="FFC6CFD5"/>
      </top>
      <bottom style="thin">
        <color rgb="FFC6CFD5"/>
      </bottom>
      <diagonal/>
    </border>
    <border>
      <left/>
      <right style="thin">
        <color rgb="FFC6CFD5"/>
      </right>
      <top style="thin">
        <color rgb="FFC6CFD5"/>
      </top>
      <bottom style="thin">
        <color rgb="FFC6CFD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top/>
      <bottom style="thin">
        <color rgb="FFC6CFD5"/>
      </bottom>
      <diagonal/>
    </border>
    <border>
      <left/>
      <right/>
      <top/>
      <bottom style="thin">
        <color rgb="FF193D4D"/>
      </bottom>
      <diagonal/>
    </border>
  </borders>
  <cellStyleXfs count="1">
    <xf numFmtId="0" fontId="0" fillId="0" borderId="0"/>
  </cellStyleXfs>
  <cellXfs count="64">
    <xf numFmtId="0" fontId="0" fillId="0" borderId="0" xfId="0"/>
    <xf numFmtId="0" fontId="1" fillId="0" borderId="0" xfId="0" applyFont="1"/>
    <xf numFmtId="0" fontId="1" fillId="0" borderId="0" xfId="0" applyFont="1" applyAlignment="1">
      <alignment horizontal="center" vertical="center" wrapText="1"/>
    </xf>
    <xf numFmtId="0" fontId="0" fillId="3" borderId="0" xfId="0" applyFill="1"/>
    <xf numFmtId="0" fontId="2" fillId="3" borderId="0" xfId="0" applyFont="1" applyFill="1" applyAlignment="1">
      <alignment vertical="center"/>
    </xf>
    <xf numFmtId="49" fontId="0" fillId="0" borderId="0" xfId="0" applyNumberFormat="1"/>
    <xf numFmtId="49" fontId="0" fillId="2" borderId="0" xfId="0" applyNumberFormat="1" applyFill="1"/>
    <xf numFmtId="0" fontId="0" fillId="2" borderId="0" xfId="0" applyFill="1"/>
    <xf numFmtId="49" fontId="1" fillId="0" borderId="0" xfId="0" applyNumberFormat="1" applyFont="1"/>
    <xf numFmtId="0" fontId="0" fillId="0" borderId="0" xfId="0" applyAlignment="1">
      <alignment wrapText="1"/>
    </xf>
    <xf numFmtId="0" fontId="1" fillId="0" borderId="0" xfId="0" applyFont="1" applyAlignment="1">
      <alignment wrapText="1"/>
    </xf>
    <xf numFmtId="0" fontId="3" fillId="0" borderId="0" xfId="0" applyFont="1" applyAlignment="1">
      <alignment vertical="top"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3" borderId="0" xfId="0" applyNumberFormat="1" applyFill="1"/>
    <xf numFmtId="49" fontId="1" fillId="0" borderId="0" xfId="0" applyNumberFormat="1" applyFont="1" applyAlignment="1">
      <alignment wrapText="1"/>
    </xf>
    <xf numFmtId="0" fontId="8" fillId="8" borderId="2" xfId="0" applyFont="1" applyFill="1" applyBorder="1" applyAlignment="1">
      <alignment vertical="top" wrapText="1"/>
    </xf>
    <xf numFmtId="0" fontId="9" fillId="9" borderId="2" xfId="0" applyFont="1" applyFill="1" applyBorder="1" applyAlignment="1">
      <alignment vertical="top" wrapText="1"/>
    </xf>
    <xf numFmtId="0" fontId="8" fillId="5" borderId="2" xfId="0" applyFont="1" applyFill="1" applyBorder="1" applyAlignment="1">
      <alignment vertical="top" wrapText="1"/>
    </xf>
    <xf numFmtId="0" fontId="9" fillId="7" borderId="2" xfId="0" applyFont="1" applyFill="1" applyBorder="1" applyAlignment="1">
      <alignment vertical="top" wrapText="1"/>
    </xf>
    <xf numFmtId="0" fontId="8" fillId="7" borderId="2" xfId="0" applyFont="1" applyFill="1" applyBorder="1" applyAlignment="1">
      <alignment vertical="top" wrapText="1"/>
    </xf>
    <xf numFmtId="0" fontId="5" fillId="6" borderId="2" xfId="0" applyFont="1" applyFill="1" applyBorder="1" applyAlignment="1">
      <alignment vertical="top" wrapText="1"/>
    </xf>
    <xf numFmtId="0" fontId="1" fillId="0" borderId="0" xfId="0" applyFont="1" applyAlignment="1">
      <alignment vertical="top"/>
    </xf>
    <xf numFmtId="0" fontId="10" fillId="0" borderId="0" xfId="0" applyFont="1" applyAlignment="1">
      <alignment vertical="center"/>
    </xf>
    <xf numFmtId="0" fontId="10" fillId="0" borderId="2" xfId="0" applyFont="1" applyBorder="1" applyAlignment="1">
      <alignment vertical="center"/>
    </xf>
    <xf numFmtId="0" fontId="5" fillId="10" borderId="2" xfId="0" applyFont="1" applyFill="1" applyBorder="1" applyAlignment="1">
      <alignment vertical="center" wrapText="1"/>
    </xf>
    <xf numFmtId="0" fontId="0" fillId="0" borderId="5" xfId="0" applyBorder="1"/>
    <xf numFmtId="0" fontId="0" fillId="0" borderId="6" xfId="0" applyBorder="1"/>
    <xf numFmtId="0" fontId="0" fillId="0" borderId="7" xfId="0" applyBorder="1"/>
    <xf numFmtId="40" fontId="1" fillId="0" borderId="0" xfId="0" applyNumberFormat="1" applyFont="1"/>
    <xf numFmtId="49" fontId="9" fillId="9" borderId="2" xfId="0" applyNumberFormat="1" applyFont="1" applyFill="1" applyBorder="1" applyAlignment="1">
      <alignment vertical="top" wrapText="1"/>
    </xf>
    <xf numFmtId="0" fontId="14" fillId="0" borderId="0" xfId="0" applyFont="1" applyAlignment="1">
      <alignment vertical="center" wrapText="1"/>
    </xf>
    <xf numFmtId="1" fontId="14" fillId="0" borderId="0" xfId="0" applyNumberFormat="1" applyFont="1" applyAlignment="1">
      <alignment vertical="center" wrapText="1"/>
    </xf>
    <xf numFmtId="1" fontId="16" fillId="0" borderId="0" xfId="0" applyNumberFormat="1" applyFont="1" applyAlignment="1">
      <alignment vertical="center" wrapText="1"/>
    </xf>
    <xf numFmtId="0" fontId="17" fillId="0" borderId="10" xfId="0" applyFont="1" applyBorder="1"/>
    <xf numFmtId="0" fontId="18" fillId="0" borderId="10" xfId="0" applyFont="1" applyBorder="1"/>
    <xf numFmtId="0" fontId="19" fillId="0" borderId="0" xfId="0" applyFont="1" applyAlignment="1">
      <alignment wrapText="1"/>
    </xf>
    <xf numFmtId="0" fontId="18" fillId="0" borderId="0" xfId="0" applyFont="1"/>
    <xf numFmtId="0" fontId="20" fillId="16" borderId="0" xfId="0" applyFont="1" applyFill="1" applyAlignment="1">
      <alignment horizontal="center" vertical="center" wrapText="1"/>
    </xf>
    <xf numFmtId="0" fontId="21"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xf numFmtId="0" fontId="10" fillId="8" borderId="2" xfId="0" applyFont="1" applyFill="1" applyBorder="1" applyAlignment="1">
      <alignment vertical="center" wrapText="1"/>
    </xf>
    <xf numFmtId="0" fontId="10" fillId="11" borderId="2" xfId="0" applyFont="1" applyFill="1" applyBorder="1" applyAlignment="1">
      <alignment vertical="center" wrapText="1"/>
    </xf>
    <xf numFmtId="0" fontId="10" fillId="7" borderId="1" xfId="0" applyFont="1" applyFill="1" applyBorder="1" applyAlignment="1">
      <alignment vertical="center" wrapText="1"/>
    </xf>
    <xf numFmtId="0" fontId="10" fillId="7" borderId="3" xfId="0" applyFont="1" applyFill="1" applyBorder="1" applyAlignment="1">
      <alignment vertical="center" wrapText="1"/>
    </xf>
    <xf numFmtId="0" fontId="10" fillId="7" borderId="4" xfId="0" applyFont="1" applyFill="1" applyBorder="1" applyAlignment="1">
      <alignment vertical="center" wrapText="1"/>
    </xf>
    <xf numFmtId="0" fontId="10" fillId="7" borderId="2" xfId="0" applyFont="1" applyFill="1" applyBorder="1" applyAlignment="1">
      <alignment vertical="center" wrapText="1"/>
    </xf>
    <xf numFmtId="0" fontId="5" fillId="4" borderId="2" xfId="0" applyFont="1" applyFill="1" applyBorder="1" applyAlignment="1">
      <alignment vertical="center"/>
    </xf>
    <xf numFmtId="0" fontId="10" fillId="5" borderId="2" xfId="0" applyFont="1" applyFill="1" applyBorder="1" applyAlignment="1">
      <alignment vertical="center" wrapText="1"/>
    </xf>
    <xf numFmtId="0" fontId="5" fillId="12" borderId="2" xfId="0" applyFont="1" applyFill="1" applyBorder="1" applyAlignment="1">
      <alignment vertical="center"/>
    </xf>
    <xf numFmtId="0" fontId="11" fillId="4" borderId="2" xfId="0" applyFont="1" applyFill="1" applyBorder="1" applyAlignment="1">
      <alignment vertical="center"/>
    </xf>
    <xf numFmtId="0" fontId="10" fillId="9" borderId="2" xfId="0" applyFont="1" applyFill="1" applyBorder="1" applyAlignment="1">
      <alignment vertical="center" wrapText="1"/>
    </xf>
    <xf numFmtId="0" fontId="5" fillId="6" borderId="2" xfId="0" applyFont="1" applyFill="1" applyBorder="1" applyAlignment="1">
      <alignment vertical="center"/>
    </xf>
    <xf numFmtId="0" fontId="12" fillId="4" borderId="8" xfId="0" applyFont="1" applyFill="1" applyBorder="1"/>
    <xf numFmtId="0" fontId="0" fillId="13" borderId="8" xfId="0" applyFill="1" applyBorder="1" applyAlignment="1">
      <alignment wrapText="1"/>
    </xf>
    <xf numFmtId="0" fontId="5" fillId="4" borderId="0" xfId="0" applyFont="1" applyFill="1" applyAlignment="1">
      <alignment vertical="top"/>
    </xf>
    <xf numFmtId="0" fontId="7" fillId="4" borderId="0" xfId="0" applyFont="1" applyFill="1" applyAlignment="1">
      <alignment vertical="top"/>
    </xf>
    <xf numFmtId="0" fontId="6" fillId="4" borderId="1"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0" fontId="13" fillId="14" borderId="9" xfId="0" applyFont="1" applyFill="1" applyBorder="1" applyAlignment="1">
      <alignment vertical="top" wrapText="1"/>
    </xf>
    <xf numFmtId="0" fontId="15" fillId="14" borderId="0" xfId="0" applyFont="1" applyFill="1" applyAlignment="1">
      <alignment vertical="center" wrapText="1"/>
    </xf>
    <xf numFmtId="0" fontId="14" fillId="15" borderId="0" xfId="0" applyFont="1" applyFill="1" applyAlignment="1">
      <alignment vertical="center" wrapText="1"/>
    </xf>
  </cellXfs>
  <cellStyles count="1">
    <cellStyle name="Normal" xfId="0" builtinId="0"/>
  </cellStyles>
  <dxfs count="118">
    <dxf>
      <font>
        <b val="0"/>
        <i val="0"/>
        <strike val="0"/>
        <condense val="0"/>
        <extend val="0"/>
        <outline val="0"/>
        <shadow val="0"/>
        <u val="none"/>
        <vertAlign val="baseline"/>
        <sz val="10"/>
        <color auto="1"/>
        <name val="Aptos"/>
        <family val="2"/>
        <scheme val="none"/>
      </font>
      <numFmt numFmtId="1" formatCode="0"/>
      <alignment horizontal="general" vertical="center" textRotation="0" wrapText="1" indent="0" justifyLastLine="0" shrinkToFit="0" readingOrder="0"/>
    </dxf>
    <dxf>
      <font>
        <b val="0"/>
        <i val="0"/>
        <strike val="0"/>
        <condense val="0"/>
        <extend val="0"/>
        <outline val="0"/>
        <shadow val="0"/>
        <u val="none"/>
        <vertAlign val="baseline"/>
        <sz val="10"/>
        <color rgb="FF0000FF"/>
        <name val="Aptos"/>
        <family val="2"/>
        <scheme val="none"/>
      </font>
      <numFmt numFmtId="1" formatCode="0"/>
      <alignment horizontal="general" vertical="center" textRotation="0" wrapText="1" indent="0" justifyLastLine="0" shrinkToFit="0" readingOrder="0"/>
    </dxf>
    <dxf>
      <font>
        <b val="0"/>
        <i val="0"/>
        <strike val="0"/>
        <condense val="0"/>
        <extend val="0"/>
        <outline val="0"/>
        <shadow val="0"/>
        <u val="none"/>
        <vertAlign val="baseline"/>
        <sz val="10"/>
        <color auto="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ptos"/>
        <family val="2"/>
        <scheme val="none"/>
      </font>
      <alignment horizontal="general" vertical="center" textRotation="0" wrapText="1" indent="0" justifyLastLine="0" shrinkToFit="0" readingOrder="0"/>
    </dxf>
    <dxf>
      <numFmt numFmtId="0" formatCode="General"/>
      <fill>
        <patternFill>
          <bgColor indexed="64"/>
        </patternFill>
      </fill>
    </dxf>
    <dxf>
      <numFmt numFmtId="0" formatCode="General"/>
      <fill>
        <patternFill>
          <bgColor indexed="64"/>
        </patternFill>
      </fill>
    </dxf>
    <dxf>
      <numFmt numFmtId="0" formatCode="General"/>
      <fill>
        <patternFill>
          <bgColor indexed="64"/>
        </patternFill>
      </fill>
    </dxf>
    <dxf>
      <numFmt numFmtId="0" formatCode="General"/>
      <fill>
        <patternFill>
          <bgColor indexed="64"/>
        </patternFill>
      </fill>
    </dxf>
    <dxf>
      <numFmt numFmtId="0" formatCode="General"/>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fill>
        <patternFill>
          <bgColor indexed="64"/>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u val="none"/>
        <sz val="11"/>
        <color auto="1"/>
        <name val="Aptos"/>
        <family val="2"/>
        <scheme val="none"/>
      </font>
      <numFmt numFmtId="0" formatCode="General"/>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b val="0"/>
        <i val="0"/>
        <strike val="0"/>
        <condense val="0"/>
        <extend val="0"/>
        <outline val="0"/>
        <shadow val="0"/>
        <u val="none"/>
        <vertAlign val="baseline"/>
        <sz val="11"/>
        <color auto="1"/>
        <name val="Aptos"/>
        <family val="2"/>
        <scheme val="none"/>
      </font>
      <numFmt numFmtId="0" formatCode="General"/>
    </dxf>
    <dxf>
      <font>
        <b val="0"/>
        <i val="0"/>
        <strike val="0"/>
        <condense val="0"/>
        <extend val="0"/>
        <outline val="0"/>
        <shadow val="0"/>
        <u val="none"/>
        <vertAlign val="baseline"/>
        <sz val="11"/>
        <color auto="1"/>
        <name val="Aptos"/>
        <family val="2"/>
        <scheme val="none"/>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8" formatCode="#,##0.00;[Red]\-#,##0.00"/>
    </dxf>
    <dxf>
      <font>
        <b val="0"/>
        <i val="0"/>
        <strike val="0"/>
        <condense val="0"/>
        <extend val="0"/>
        <outline val="0"/>
        <shadow val="0"/>
        <u val="none"/>
        <vertAlign val="baseline"/>
        <sz val="11"/>
        <color auto="1"/>
        <name val="Aptos"/>
        <family val="2"/>
        <scheme val="none"/>
      </font>
      <numFmt numFmtId="30" formatCode="@"/>
    </dxf>
    <dxf>
      <font>
        <b val="0"/>
        <i val="0"/>
        <strike val="0"/>
        <condense val="0"/>
        <extend val="0"/>
        <outline val="0"/>
        <shadow val="0"/>
        <u val="none"/>
        <vertAlign val="baseline"/>
        <sz val="11"/>
        <color auto="1"/>
        <name val="Aptos"/>
        <family val="2"/>
        <scheme val="none"/>
      </font>
      <numFmt numFmtId="30" formatCode="@"/>
    </dxf>
    <dxf>
      <font>
        <b val="0"/>
        <i val="0"/>
        <strike val="0"/>
        <condense val="0"/>
        <extend val="0"/>
        <outline val="0"/>
        <shadow val="0"/>
        <u val="none"/>
        <vertAlign val="baseline"/>
        <sz val="11"/>
        <color auto="1"/>
        <name val="Aptos"/>
        <family val="2"/>
        <scheme val="none"/>
      </font>
      <numFmt numFmtId="30" formatCode="@"/>
    </dxf>
    <dxf>
      <font>
        <b val="0"/>
        <i val="0"/>
        <strike val="0"/>
        <condense val="0"/>
        <extend val="0"/>
        <outline val="0"/>
        <shadow val="0"/>
        <u val="none"/>
        <vertAlign val="baseline"/>
        <sz val="11"/>
        <color auto="1"/>
        <name val="Aptos"/>
        <family val="2"/>
        <scheme val="none"/>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1"/>
        <color auto="1"/>
        <name val="Aptos"/>
        <family val="2"/>
        <scheme val="none"/>
      </font>
    </dxf>
    <dxf>
      <font>
        <b val="0"/>
        <i val="0"/>
        <strike val="0"/>
        <condense val="0"/>
        <extend val="0"/>
        <outline val="0"/>
        <shadow val="0"/>
        <u val="none"/>
        <vertAlign val="baseline"/>
        <sz val="11"/>
        <color auto="1"/>
        <name val="Aptos"/>
        <family val="2"/>
        <scheme val="none"/>
      </font>
    </dxf>
    <dxf>
      <font>
        <u val="none"/>
        <sz val="11"/>
        <color auto="1"/>
        <name val="Aptos"/>
        <family val="2"/>
        <scheme val="none"/>
      </font>
      <numFmt numFmtId="0" formatCode="General"/>
    </dxf>
    <dxf>
      <font>
        <u val="none"/>
        <sz val="11"/>
        <color auto="1"/>
        <name val="Aptos"/>
        <family val="2"/>
        <scheme val="none"/>
      </font>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0" formatCode="General"/>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0" formatCode="General"/>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b val="0"/>
        <i val="0"/>
        <strike val="0"/>
        <condense val="0"/>
        <extend val="0"/>
        <outline val="0"/>
        <shadow val="0"/>
        <u val="none"/>
        <vertAlign val="baseline"/>
        <sz val="11"/>
        <color auto="1"/>
        <name val="Aptos"/>
        <family val="2"/>
        <scheme val="none"/>
      </font>
    </dxf>
    <dxf>
      <font>
        <b val="0"/>
        <i val="0"/>
        <strike val="0"/>
        <condense val="0"/>
        <extend val="0"/>
        <outline val="0"/>
        <shadow val="0"/>
        <u val="none"/>
        <vertAlign val="baseli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numFmt numFmtId="30" formatCode="@"/>
    </dxf>
    <dxf>
      <font>
        <u val="none"/>
        <sz val="11"/>
        <color auto="1"/>
        <name val="Aptos"/>
        <family val="2"/>
        <scheme val="none"/>
      </font>
    </dxf>
    <dxf>
      <font>
        <u val="none"/>
        <sz val="11"/>
        <color auto="1"/>
        <name val="Aptos"/>
        <family val="2"/>
        <scheme val="none"/>
      </font>
      <numFmt numFmtId="0" formatCode="General"/>
    </dxf>
    <dxf>
      <font>
        <b val="0"/>
        <i val="0"/>
        <strike val="0"/>
        <condense val="0"/>
        <extend val="0"/>
        <outline val="0"/>
        <shadow val="0"/>
        <u val="none"/>
        <vertAlign val="baseline"/>
        <sz val="11"/>
        <color auto="1"/>
        <name val="Aptos"/>
        <family val="2"/>
        <scheme val="none"/>
      </font>
    </dxf>
    <dxf>
      <font>
        <b val="0"/>
        <i val="0"/>
        <strike val="0"/>
        <condense val="0"/>
        <extend val="0"/>
        <outline val="0"/>
        <shadow val="0"/>
        <u val="none"/>
        <vertAlign val="baseli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dxf>
    <dxf>
      <font>
        <u val="none"/>
        <sz val="11"/>
        <color auto="1"/>
        <name val="Aptos"/>
        <family val="2"/>
        <scheme val="none"/>
      </font>
      <numFmt numFmtId="30" formatCode="@"/>
    </dxf>
    <dxf>
      <font>
        <u val="none"/>
        <sz val="11"/>
        <color auto="1"/>
        <name val="Aptos"/>
        <family val="2"/>
        <scheme val="none"/>
      </font>
    </dxf>
    <dxf>
      <alignment horizontal="general" vertical="bottom" textRotation="0" wrapText="1" indent="0" justifyLastLine="0" shrinkToFit="0" readingOrder="0"/>
    </dxf>
    <dxf>
      <numFmt numFmtId="30" formatCode="@"/>
    </dxf>
    <dxf>
      <font>
        <u val="none"/>
        <sz val="11"/>
        <color auto="1"/>
        <name val="Aptos"/>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2</xdr:col>
      <xdr:colOff>0</xdr:colOff>
      <xdr:row>4</xdr:row>
      <xdr:rowOff>0</xdr:rowOff>
    </xdr:to>
    <xdr:sp macro="UpdateCombinedReportingMappings" textlink="">
      <xdr:nvSpPr>
        <xdr:cNvPr id="2" name="Run UpdateCombinedReportingMappings">
          <a:extLst>
            <a:ext uri="{FF2B5EF4-FFF2-40B4-BE49-F238E27FC236}">
              <a16:creationId xmlns:a16="http://schemas.microsoft.com/office/drawing/2014/main" id="{D34CAD81-8459-BDCD-C2AE-D6DE38D2A733}"/>
            </a:ext>
          </a:extLst>
        </xdr:cNvPr>
        <xdr:cNvSpPr/>
      </xdr:nvSpPr>
      <xdr:spPr>
        <a:xfrm>
          <a:off x="0" y="1571625"/>
          <a:ext cx="5962650" cy="1066800"/>
        </a:xfrm>
        <a:prstGeom prst="roundRect">
          <a:avLst/>
        </a:prstGeom>
        <a:solidFill>
          <a:srgbClr val="6E5AA0"/>
        </a:solidFill>
        <a:ln w="19050">
          <a:solidFill>
            <a:srgbClr val="1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rgbClr val="FBFCFD"/>
              </a:solidFill>
              <a:latin typeface="Aptos" panose="020B0004020202020204" pitchFamily="34" charset="0"/>
            </a:rPr>
            <a:t>Run Mapping update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MappingErrorTable" displayName="MappingErrorTable" ref="A6:C7" insertRow="1" totalsRowShown="0" dataDxfId="117">
  <autoFilter ref="A6:C7" xr:uid="{00000000-0009-0000-0100-00000C000000}"/>
  <tableColumns count="3">
    <tableColumn id="1" xr3:uid="{00000000-0010-0000-0000-000001000000}" name="Missing/Duplicate Code" dataDxfId="116"/>
    <tableColumn id="2" xr3:uid="{00000000-0010-0000-0000-000002000000}" name="Which Sheet to Adjust"/>
    <tableColumn id="3" xr3:uid="{00000000-0010-0000-0000-000003000000}" name="Comment"/>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MappingAccountTable" displayName="MappingAccountTable" ref="A6:I7" insertRow="1" totalsRowShown="0" headerRowDxfId="115" dataDxfId="114">
  <autoFilter ref="A6:I7" xr:uid="{00000000-0009-0000-0100-000007000000}"/>
  <tableColumns count="9">
    <tableColumn id="1" xr3:uid="{00000000-0010-0000-0100-000001000000}" name="Account Code" dataDxfId="113"/>
    <tableColumn id="2" xr3:uid="{00000000-0010-0000-0100-000002000000}" name="Account Code Description (Optional, for your help only)" dataDxfId="112"/>
    <tableColumn id="3" xr3:uid="{00000000-0010-0000-0100-000003000000}" name="Account Code Pay / Non-Pay Field" dataDxfId="111"/>
    <tableColumn id="4" xr3:uid="{00000000-0010-0000-0100-000004000000}" name="Account Code VAT Status" dataDxfId="110"/>
    <tableColumn id="5" xr3:uid="{00000000-0010-0000-0100-000005000000}" name="Account Code Reporting Category 1" dataDxfId="109"/>
    <tableColumn id="6" xr3:uid="{00000000-0010-0000-0100-000006000000}" name="Account Code Reporting Category 2" dataDxfId="108"/>
    <tableColumn id="8" xr3:uid="{3218336D-E739-47DE-B35D-6BA7882CCC09}" name="Account Code Reporting Category 3" dataDxfId="107"/>
    <tableColumn id="9" xr3:uid="{807EE434-6757-4F01-A3D0-FC45822E0CC3}" name="Account Code Reporting Category 4" dataDxfId="106"/>
    <tableColumn id="7" xr3:uid="{00000000-0010-0000-0100-000007000000}" name="Override Check (Formula)" dataDxfId="105">
      <calculatedColumnFormula>IF((COUNTIFS(MappingAccountOverrideTable[Account Code],MappingAccountTable[[#This Row],[Account Code]],MappingAccountOverrideTable[Account Code Override Reporting Category 1],"&lt;&gt;")+COUNTIFS(MappingAccountOverrideTable[Account Code],MappingAccountTable[[#This Row],[Account Code]],MappingAccountOverrideTable[Account Code Override Reporting Category 2],"&lt;&gt;")+COUNTIFS(MappingAccountOverrideTable[Account Code],MappingAccountTable[[#This Row],[Account Code]],MappingAccountOverrideTable[Account Code Override Reporting Category 3],"&lt;&gt;")+COUNTIFS(MappingAccountOverrideTable[Account Code],MappingAccountTable[[#This Row],[Account Code]],MappingAccountOverrideTable[Account Code Override Reporting Category 4],"&lt;&gt;"))&gt;0,"YES","NO")</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MappingAccountOverrideTable" displayName="MappingAccountOverrideTable" ref="A6:AD7" insertRow="1" totalsRowShown="0" dataDxfId="104">
  <autoFilter ref="A6:AD7" xr:uid="{00000000-0009-0000-0100-00000B000000}"/>
  <tableColumns count="30">
    <tableColumn id="3" xr3:uid="{00000000-0010-0000-0200-000003000000}" name="Account Code" dataDxfId="103"/>
    <tableColumn id="24" xr3:uid="{00000000-0010-0000-0200-000018000000}" name="Generated Unique Transaction Number" dataDxfId="102"/>
    <tableColumn id="27" xr3:uid="{00000000-0010-0000-0200-00001B000000}" name="PO Number" dataDxfId="101"/>
    <tableColumn id="26" xr3:uid="{00000000-0010-0000-0200-00001A000000}" name="PO Line" dataDxfId="100"/>
    <tableColumn id="15" xr3:uid="{00000000-0010-0000-0200-00000F000000}" name="Entity 1" dataDxfId="99"/>
    <tableColumn id="2" xr3:uid="{00000000-0010-0000-0200-000002000000}" name="Entity Operator" dataDxfId="98"/>
    <tableColumn id="1" xr3:uid="{00000000-0010-0000-0200-000001000000}" name="Entity 2 (if applicable)" dataDxfId="97"/>
    <tableColumn id="5" xr3:uid="{00000000-0010-0000-0200-000005000000}" name="Cost Centre 1" dataDxfId="96"/>
    <tableColumn id="4" xr3:uid="{00000000-0010-0000-0200-000004000000}" name="Cost Centre Operator" dataDxfId="95"/>
    <tableColumn id="6" xr3:uid="{00000000-0010-0000-0200-000006000000}" name="Cost Centre 2 (if applicable)" dataDxfId="94"/>
    <tableColumn id="8" xr3:uid="{00000000-0010-0000-0200-000008000000}" name="Activity 1" dataDxfId="93"/>
    <tableColumn id="7" xr3:uid="{00000000-0010-0000-0200-000007000000}" name="Activity Operator" dataDxfId="92"/>
    <tableColumn id="9" xr3:uid="{00000000-0010-0000-0200-000009000000}" name="Activity 2 (if applicable)" dataDxfId="91"/>
    <tableColumn id="11" xr3:uid="{00000000-0010-0000-0200-00000B000000}" name="Auxiliary 1" dataDxfId="90"/>
    <tableColumn id="10" xr3:uid="{00000000-0010-0000-0200-00000A000000}" name="Auxiliary Operator" dataDxfId="89"/>
    <tableColumn id="12" xr3:uid="{00000000-0010-0000-0200-00000C000000}" name="Auxiliary 2 (if applicable)" dataDxfId="88"/>
    <tableColumn id="20" xr3:uid="{00000000-0010-0000-0200-000014000000}" name="Intercompany 1" dataDxfId="87"/>
    <tableColumn id="21" xr3:uid="{00000000-0010-0000-0200-000015000000}" name="Intercompany Operator" dataDxfId="86"/>
    <tableColumn id="18" xr3:uid="{00000000-0010-0000-0200-000012000000}" name="Intercompany 2 (if applicable)" dataDxfId="85"/>
    <tableColumn id="19" xr3:uid="{00000000-0010-0000-0200-000013000000}" name="Spare 1" dataDxfId="84"/>
    <tableColumn id="17" xr3:uid="{00000000-0010-0000-0200-000011000000}" name="Spare Operator" dataDxfId="83"/>
    <tableColumn id="16" xr3:uid="{00000000-0010-0000-0200-000010000000}" name="Spare 2 (if applicable)" dataDxfId="82"/>
    <tableColumn id="13" xr3:uid="{00000000-0010-0000-0200-00000D000000}" name="Account Code Override Reporting Category 1" dataDxfId="81"/>
    <tableColumn id="14" xr3:uid="{00000000-0010-0000-0200-00000E000000}" name="Account Code Override Reporting Category 2" dataDxfId="80"/>
    <tableColumn id="29" xr3:uid="{58A1DEBD-F339-4BF4-8771-E4E7CD320DF0}" name="Account Code Override Reporting Category 3" dataDxfId="79"/>
    <tableColumn id="30" xr3:uid="{EA7DD84E-2F28-4A38-8F14-749D988519BE}" name="Account Code Override Reporting Category 4" dataDxfId="78"/>
    <tableColumn id="22" xr3:uid="{00000000-0010-0000-0200-000016000000}" name="Account Code Override Pay / Non-Pay Field" dataDxfId="77"/>
    <tableColumn id="23" xr3:uid="{00000000-0010-0000-0200-000017000000}" name="Account Code Override VAT Status" dataDxfId="76"/>
    <tableColumn id="25" xr3:uid="{00000000-0010-0000-0200-000019000000}" name="Account Code CoM Override" dataDxfId="75"/>
    <tableColumn id="28" xr3:uid="{00000000-0010-0000-0200-00001C000000}" name="Lookup Key (Formula)" dataDxfId="74">
      <calculatedColumnFormula>MappingAccountOverrideTable[[#This Row],[PO Number]]&amp;"|"&amp;MappingAccountOverrideTable[[#This Row],[PO Line]]</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3000000}" name="MappingCostCentreTable" displayName="MappingCostCentreTable" ref="A6:J7" insertRow="1" totalsRowShown="0" dataDxfId="73">
  <autoFilter ref="A6:J7" xr:uid="{00000000-0009-0000-0100-00000E000000}"/>
  <tableColumns count="10">
    <tableColumn id="1" xr3:uid="{00000000-0010-0000-0300-000001000000}" name="Cost Centre Number" dataDxfId="72"/>
    <tableColumn id="9" xr3:uid="{00000000-0010-0000-0300-000009000000}" name="PO Number" dataDxfId="71"/>
    <tableColumn id="8" xr3:uid="{00000000-0010-0000-0300-000008000000}" name="PO Line" dataDxfId="70"/>
    <tableColumn id="7" xr3:uid="{00000000-0010-0000-0300-000007000000}" name="Generated Unique Transaction Number" dataDxfId="69"/>
    <tableColumn id="2" xr3:uid="{00000000-0010-0000-0300-000002000000}" name="Cost Centre Description (Optional, for your help only)" dataDxfId="68"/>
    <tableColumn id="3" xr3:uid="{00000000-0010-0000-0300-000003000000}" name="Cost Centre Type" dataDxfId="67"/>
    <tableColumn id="4" xr3:uid="{00000000-0010-0000-0300-000004000000}" name="Cost Centre Reporting Group 1" dataDxfId="66"/>
    <tableColumn id="5" xr3:uid="{00000000-0010-0000-0300-000005000000}" name="Cost Centre Reporting Group 2" dataDxfId="65"/>
    <tableColumn id="6" xr3:uid="{00000000-0010-0000-0300-000006000000}" name="Cost Centre Reporting Group 3" dataDxfId="64"/>
    <tableColumn id="10" xr3:uid="{00000000-0010-0000-0300-00000A000000}" name="Lookup Key (Formula)" dataDxfId="63">
      <calculatedColumnFormula>MappingCostCentreTable[[#This Row],[PO Number]]&amp;"|"&amp;MappingCostCentreTable[[#This Row],[PO Line]]</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MappingPOAdjustmentTable" displayName="MappingPOAdjustmentTable" ref="A6:F7" insertRow="1" totalsRowShown="0" dataDxfId="62">
  <autoFilter ref="A6:F7" xr:uid="{00000000-0009-0000-0100-00000F000000}"/>
  <tableColumns count="6">
    <tableColumn id="1" xr3:uid="{00000000-0010-0000-0400-000001000000}" name="PO Number" dataDxfId="61"/>
    <tableColumn id="2" xr3:uid="{00000000-0010-0000-0400-000002000000}" name="PO Line" dataDxfId="60"/>
    <tableColumn id="3" xr3:uid="{00000000-0010-0000-0400-000003000000}" name="Generated Unique Transaction Number" dataDxfId="59"/>
    <tableColumn id="4" xr3:uid="{00000000-0010-0000-0400-000004000000}" name="Net Commitment Adjustment" dataDxfId="58"/>
    <tableColumn id="5" xr3:uid="{00000000-0010-0000-0400-000005000000}" name="Adjustment Comment" dataDxfId="57"/>
    <tableColumn id="7" xr3:uid="{00000000-0010-0000-0400-000007000000}" name="Lookup Key (Formula)" dataDxfId="56">
      <calculatedColumnFormula>MappingPOAdjustmentTable[[#This Row],[PO Number]]&amp;"|"&amp;MappingPOAdjustmentTable[[#This Row],[PO Line]]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FD0093-03F7-4367-A9DF-F9567244A3DA}" name="MappingPOForecastTable" displayName="MappingPOForecastTable" ref="A6:R7" insertRow="1" totalsRowShown="0" headerRowDxfId="55" dataDxfId="54">
  <autoFilter ref="A6:R7" xr:uid="{B5FD0093-03F7-4367-A9DF-F9567244A3DA}"/>
  <tableColumns count="18">
    <tableColumn id="18" xr3:uid="{4A00E47C-D076-4D76-A3AD-8BD8A7AB5E90}" name="Error Message" dataDxfId="53"/>
    <tableColumn id="1" xr3:uid="{8F0A27D1-2A22-4D17-BB07-E55C2D3D194C}" name="PO Number" dataDxfId="52"/>
    <tableColumn id="2" xr3:uid="{499D44D0-90E9-4B91-9936-1931FF347A69}" name="PO Line" dataDxfId="51"/>
    <tableColumn id="3" xr3:uid="{B42A5AD6-E261-449C-A813-CB862E5B5940}" name="Financial Year" dataDxfId="50"/>
    <tableColumn id="4" xr3:uid="{AFA6FA15-56B5-416E-97E7-47A18C79DB2C}" name="April Forecast" dataDxfId="49"/>
    <tableColumn id="17" xr3:uid="{027F621A-DF8E-42B2-8F6A-2323E5D1E6DF}" name="May Forecast" dataDxfId="48"/>
    <tableColumn id="15" xr3:uid="{9E519C15-19A0-482D-8AD7-3FB233DF549D}" name="June Forecast" dataDxfId="47"/>
    <tableColumn id="16" xr3:uid="{2DE1F518-1903-4E77-A289-0A197D60BF78}" name="July Forecast" dataDxfId="46"/>
    <tableColumn id="13" xr3:uid="{EAC1FB67-1010-4E29-95C3-10AD5A191CAC}" name="August Forecast" dataDxfId="45"/>
    <tableColumn id="14" xr3:uid="{334C6C3B-24A8-4793-85FF-58616F71F85B}" name="September Forecast" dataDxfId="44"/>
    <tableColumn id="11" xr3:uid="{4AC45244-2F0A-4AFA-B47C-41FDDBE62D10}" name="October Forecast" dataDxfId="43"/>
    <tableColumn id="12" xr3:uid="{BF67D4FF-DDA7-4B01-A7EE-CC1B40FB7CC2}" name="November Forecast" dataDxfId="42"/>
    <tableColumn id="10" xr3:uid="{9F5DF293-A8D8-4DC4-B362-C974A93A8965}" name="December Forecast" dataDxfId="41"/>
    <tableColumn id="9" xr3:uid="{0E9836B6-31CF-4A3C-BB68-9389AC52B5A2}" name="January Forecast" dataDxfId="40"/>
    <tableColumn id="8" xr3:uid="{BB5692DE-1EC4-4111-9A4B-E084916DDF8C}" name="February Forecast" dataDxfId="39"/>
    <tableColumn id="7" xr3:uid="{64881573-46FA-4B26-9488-A4D57FC8434C}" name="March Forecast" dataDxfId="38"/>
    <tableColumn id="5" xr3:uid="{BFF7801F-DF20-4CB1-A862-8611F120FFE2}" name="PO Comments" dataDxfId="37"/>
    <tableColumn id="6" xr3:uid="{C40A3067-278F-41AC-925D-1340EC83C710}" name="Lookup Key (Formula)" dataDxfId="36">
      <calculatedColumnFormula>IF(OR(MappingPOForecastTable[[#This Row],[PO Number]]="",MappingPOForecastTable[[#This Row],[PO Line]]=""),"",MappingPOForecastTable[[#This Row],[PO Number]]&amp;"|"&amp;MappingPOForecastTable[[#This Row],[PO Line]])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MappingJournalSourceTable" displayName="MappingJournalSourceTable" ref="A6:F7" insertRow="1" totalsRowShown="0" dataDxfId="35">
  <autoFilter ref="A6:F7" xr:uid="{00000000-0009-0000-0100-00000D000000}"/>
  <tableColumns count="6">
    <tableColumn id="1" xr3:uid="{00000000-0010-0000-0500-000001000000}" name="Journal Source" dataDxfId="34"/>
    <tableColumn id="3" xr3:uid="{00000000-0010-0000-0500-000003000000}" name="Generated Unique Transaction Number" dataDxfId="33"/>
    <tableColumn id="5" xr3:uid="{00000000-0010-0000-0500-000005000000}" name="PO Number" dataDxfId="32"/>
    <tableColumn id="4" xr3:uid="{00000000-0010-0000-0500-000004000000}" name="PO Line" dataDxfId="31"/>
    <tableColumn id="2" xr3:uid="{00000000-0010-0000-0500-000002000000}" name="Journal Source Classification" dataDxfId="30"/>
    <tableColumn id="6" xr3:uid="{00000000-0010-0000-0500-000006000000}" name="Lookup Key (Formula)" dataDxfId="29">
      <calculatedColumnFormula>MappingJournalSourceTable[[#This Row],[PO Number]]&amp;"|"&amp;MappingJournalSourceTable[[#This Row],[PO Line]]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6000000}" name="MappingAdditionsTable" displayName="MappingAdditionsTable" ref="A6:W7" insertRow="1" totalsRowShown="0" dataDxfId="28">
  <autoFilter ref="A6:W7" xr:uid="{00000000-0009-0000-0100-000001000000}"/>
  <tableColumns count="23">
    <tableColumn id="1" xr3:uid="{00000000-0010-0000-0600-000001000000}" name="Entity" dataDxfId="27"/>
    <tableColumn id="2" xr3:uid="{00000000-0010-0000-0600-000002000000}" name="Cost Centre" dataDxfId="26"/>
    <tableColumn id="3" xr3:uid="{00000000-0010-0000-0600-000003000000}" name="Account Code" dataDxfId="25"/>
    <tableColumn id="4" xr3:uid="{00000000-0010-0000-0600-000004000000}" name="Auxiliary" dataDxfId="24"/>
    <tableColumn id="5" xr3:uid="{00000000-0010-0000-0600-000005000000}" name="Activity" dataDxfId="23"/>
    <tableColumn id="6" xr3:uid="{00000000-0010-0000-0600-000006000000}" name="Intercompany" dataDxfId="22"/>
    <tableColumn id="7" xr3:uid="{00000000-0010-0000-0600-000007000000}" name="Spare" dataDxfId="21"/>
    <tableColumn id="11" xr3:uid="{00000000-0010-0000-0600-00000B000000}" name="Report" dataDxfId="20"/>
    <tableColumn id="12" xr3:uid="{00000000-0010-0000-0600-00000C000000}" name="PO Number" dataDxfId="19"/>
    <tableColumn id="13" xr3:uid="{00000000-0010-0000-0600-00000D000000}" name="PO Line Number" dataDxfId="18"/>
    <tableColumn id="14" xr3:uid="{00000000-0010-0000-0600-00000E000000}" name="Project Number" dataDxfId="17"/>
    <tableColumn id="15" xr3:uid="{00000000-0010-0000-0600-00000F000000}" name="Task Number" dataDxfId="16"/>
    <tableColumn id="16" xr3:uid="{00000000-0010-0000-0600-000010000000}" name="Expenditure Type" dataDxfId="15"/>
    <tableColumn id="17" xr3:uid="{00000000-0010-0000-0600-000011000000}" name="Comment" dataDxfId="14"/>
    <tableColumn id="18" xr3:uid="{00000000-0010-0000-0600-000012000000}" name="PO Header Description" dataDxfId="13"/>
    <tableColumn id="19" xr3:uid="{00000000-0010-0000-0600-000013000000}" name="Line Description" dataDxfId="12"/>
    <tableColumn id="8" xr3:uid="{00000000-0010-0000-0600-000008000000}" name="Month" dataDxfId="11"/>
    <tableColumn id="9" xr3:uid="{00000000-0010-0000-0600-000009000000}" name="Year (YY)" dataDxfId="10"/>
    <tableColumn id="10" xr3:uid="{00000000-0010-0000-0600-00000A000000}" name="Value" dataDxfId="9"/>
    <tableColumn id="20" xr3:uid="{00000000-0010-0000-0600-000014000000}" name="PO Amount" dataDxfId="8"/>
    <tableColumn id="21" xr3:uid="{00000000-0010-0000-0600-000015000000}" name="PO Non Recoverable Tax" dataDxfId="7"/>
    <tableColumn id="23" xr3:uid="{00000000-0010-0000-0600-000017000000}" name="Received Amount" dataDxfId="6"/>
    <tableColumn id="25" xr3:uid="{00000000-0010-0000-0600-000019000000}" name="Invoiced Amount" dataDxfId="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5AC185-8CC5-4715-A46E-7A7451772128}" name="AddedColumnCopiesTable" displayName="AddedColumnCopiesTable" ref="H10:J90" totalsRowShown="0" headerRowDxfId="4" dataDxfId="3">
  <autoFilter ref="H10:J90" xr:uid="{915AC185-8CC5-4715-A46E-7A7451772128}"/>
  <tableColumns count="3">
    <tableColumn id="1" xr3:uid="{2C770F91-B965-4529-8D38-AE9ABBEEB731}" name="Added column" dataDxfId="2"/>
    <tableColumn id="2" xr3:uid="{58C9F342-1104-475D-BB12-FA5D9BB80545}" name="Additional copies" dataDxfId="1"/>
    <tableColumn id="3" xr3:uid="{680F0886-A15D-48D8-AF0F-B0B35FEAF8FD}" name="Total fields" dataDxfId="0">
      <calculatedColumnFormula>1+I11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BA6F68-330D-4293-8D28-062F340AF549}" name="MacroAssumptionsTable" displayName="MacroAssumptionsTable" ref="A5:C79" totalsRowShown="0">
  <autoFilter ref="A5:C79" xr:uid="{00000000-0009-0000-0100-000001000000}"/>
  <tableColumns count="3">
    <tableColumn id="1" xr3:uid="{F5B215BD-97CC-4F2F-9E78-55CFF8043D87}" name="Area"/>
    <tableColumn id="2" xr3:uid="{A109858A-F7EE-4733-8E24-23CC6B69F890}" name="Item"/>
    <tableColumn id="3" xr3:uid="{AF2F579C-A292-4F52-8F77-B530D4B641E1}" name="Fixed rule / assumption"/>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6E5AA0"/>
  </sheetPr>
  <dimension ref="A1:H30"/>
  <sheetViews>
    <sheetView workbookViewId="0"/>
  </sheetViews>
  <sheetFormatPr defaultColWidth="8.75" defaultRowHeight="15"/>
  <cols>
    <col min="1" max="1" width="12.625" style="1" customWidth="1"/>
    <col min="2" max="8" width="16.625" style="1" customWidth="1"/>
    <col min="9" max="16384" width="8.75" style="1"/>
  </cols>
  <sheetData>
    <row r="1" spans="1:8" ht="33.950000000000003" customHeight="1">
      <c r="A1" s="51" t="s">
        <v>233</v>
      </c>
      <c r="B1" s="51"/>
      <c r="C1" s="51"/>
      <c r="D1" s="51"/>
      <c r="E1" s="51"/>
      <c r="F1" s="51"/>
      <c r="G1" s="51"/>
      <c r="H1" s="51"/>
    </row>
    <row r="2" spans="1:8" ht="42" customHeight="1">
      <c r="A2" s="52" t="s">
        <v>234</v>
      </c>
      <c r="B2" s="52"/>
      <c r="C2" s="52"/>
      <c r="D2" s="52"/>
      <c r="E2" s="52"/>
      <c r="F2" s="52"/>
      <c r="G2" s="52"/>
      <c r="H2" s="52"/>
    </row>
    <row r="3" spans="1:8">
      <c r="A3" s="24"/>
      <c r="B3" s="24"/>
      <c r="C3" s="24"/>
      <c r="D3" s="24"/>
      <c r="E3" s="24"/>
      <c r="F3" s="24"/>
      <c r="G3" s="24"/>
      <c r="H3" s="24"/>
    </row>
    <row r="4" spans="1:8">
      <c r="A4" s="48" t="s">
        <v>235</v>
      </c>
      <c r="B4" s="48"/>
      <c r="C4" s="48"/>
      <c r="D4" s="48"/>
      <c r="E4" s="48"/>
      <c r="F4" s="48"/>
      <c r="G4" s="48"/>
      <c r="H4" s="48"/>
    </row>
    <row r="5" spans="1:8" ht="32.1" customHeight="1">
      <c r="A5" s="25" t="s">
        <v>236</v>
      </c>
      <c r="B5" s="49" t="s">
        <v>237</v>
      </c>
      <c r="C5" s="49"/>
      <c r="D5" s="49"/>
      <c r="E5" s="49"/>
      <c r="F5" s="49"/>
      <c r="G5" s="49"/>
      <c r="H5" s="49"/>
    </row>
    <row r="6" spans="1:8" ht="32.1" customHeight="1">
      <c r="A6" s="25" t="s">
        <v>238</v>
      </c>
      <c r="B6" s="49" t="s">
        <v>239</v>
      </c>
      <c r="C6" s="49"/>
      <c r="D6" s="49"/>
      <c r="E6" s="49"/>
      <c r="F6" s="49"/>
      <c r="G6" s="49"/>
      <c r="H6" s="49"/>
    </row>
    <row r="7" spans="1:8" ht="32.1" customHeight="1">
      <c r="A7" s="25" t="s">
        <v>240</v>
      </c>
      <c r="B7" s="49" t="s">
        <v>241</v>
      </c>
      <c r="C7" s="49"/>
      <c r="D7" s="49"/>
      <c r="E7" s="49"/>
      <c r="F7" s="49"/>
      <c r="G7" s="49"/>
      <c r="H7" s="49"/>
    </row>
    <row r="8" spans="1:8" ht="32.1" customHeight="1">
      <c r="A8" s="25" t="s">
        <v>242</v>
      </c>
      <c r="B8" s="49" t="s">
        <v>341</v>
      </c>
      <c r="C8" s="49"/>
      <c r="D8" s="49"/>
      <c r="E8" s="49"/>
      <c r="F8" s="49"/>
      <c r="G8" s="49"/>
      <c r="H8" s="49"/>
    </row>
    <row r="9" spans="1:8">
      <c r="A9" s="24"/>
      <c r="B9" s="24"/>
      <c r="C9" s="24"/>
      <c r="D9" s="24"/>
      <c r="E9" s="24"/>
      <c r="F9" s="24"/>
      <c r="G9" s="24"/>
      <c r="H9" s="24"/>
    </row>
    <row r="10" spans="1:8">
      <c r="A10" s="53" t="s">
        <v>243</v>
      </c>
      <c r="B10" s="53"/>
      <c r="C10" s="53"/>
      <c r="D10" s="53"/>
      <c r="E10" s="53" t="s">
        <v>244</v>
      </c>
      <c r="F10" s="53"/>
      <c r="G10" s="53"/>
      <c r="H10" s="53"/>
    </row>
    <row r="11" spans="1:8" ht="38.1" customHeight="1">
      <c r="A11" s="52" t="s">
        <v>245</v>
      </c>
      <c r="B11" s="52"/>
      <c r="C11" s="52"/>
      <c r="D11" s="52"/>
      <c r="E11" s="47" t="s">
        <v>246</v>
      </c>
      <c r="F11" s="47"/>
      <c r="G11" s="47"/>
      <c r="H11" s="47"/>
    </row>
    <row r="12" spans="1:8" ht="38.1" customHeight="1">
      <c r="A12" s="43" t="s">
        <v>247</v>
      </c>
      <c r="B12" s="43"/>
      <c r="C12" s="43"/>
      <c r="D12" s="43"/>
      <c r="E12" s="47" t="s">
        <v>248</v>
      </c>
      <c r="F12" s="47"/>
      <c r="G12" s="47"/>
      <c r="H12" s="47"/>
    </row>
    <row r="13" spans="1:8" ht="38.1" customHeight="1">
      <c r="A13" s="43" t="s">
        <v>249</v>
      </c>
      <c r="B13" s="43"/>
      <c r="C13" s="43"/>
      <c r="D13" s="43"/>
      <c r="E13" s="44" t="s">
        <v>284</v>
      </c>
      <c r="F13" s="45"/>
      <c r="G13" s="45"/>
      <c r="H13" s="46"/>
    </row>
    <row r="14" spans="1:8" ht="38.1" customHeight="1">
      <c r="A14" s="42" t="s">
        <v>250</v>
      </c>
      <c r="B14" s="42"/>
      <c r="C14" s="42"/>
      <c r="D14" s="42"/>
      <c r="E14" s="47" t="s">
        <v>251</v>
      </c>
      <c r="F14" s="47"/>
      <c r="G14" s="47"/>
      <c r="H14" s="47"/>
    </row>
    <row r="15" spans="1:8">
      <c r="A15" s="24"/>
      <c r="B15" s="24"/>
      <c r="C15" s="24"/>
      <c r="D15" s="24"/>
      <c r="E15" s="24"/>
      <c r="F15" s="24"/>
      <c r="G15" s="24"/>
      <c r="H15" s="24"/>
    </row>
    <row r="16" spans="1:8">
      <c r="A16" s="24"/>
      <c r="B16" s="24"/>
      <c r="C16" s="24"/>
      <c r="D16" s="24"/>
      <c r="E16" s="24"/>
      <c r="F16" s="24"/>
      <c r="G16" s="24"/>
      <c r="H16" s="24"/>
    </row>
    <row r="17" spans="1:8">
      <c r="A17" s="48" t="s">
        <v>252</v>
      </c>
      <c r="B17" s="48"/>
      <c r="C17" s="48"/>
      <c r="D17" s="48"/>
      <c r="E17" s="48"/>
      <c r="F17" s="48"/>
      <c r="G17" s="48"/>
      <c r="H17" s="48"/>
    </row>
    <row r="18" spans="1:8" ht="33.950000000000003" customHeight="1">
      <c r="A18" s="49" t="s">
        <v>253</v>
      </c>
      <c r="B18" s="49"/>
      <c r="C18" s="49"/>
      <c r="D18" s="49"/>
      <c r="E18" s="49"/>
      <c r="F18" s="49"/>
      <c r="G18" s="49"/>
      <c r="H18" s="49"/>
    </row>
    <row r="19" spans="1:8" ht="33.950000000000003" customHeight="1">
      <c r="A19" s="49" t="s">
        <v>254</v>
      </c>
      <c r="B19" s="49"/>
      <c r="C19" s="49"/>
      <c r="D19" s="49"/>
      <c r="E19" s="49"/>
      <c r="F19" s="49"/>
      <c r="G19" s="49"/>
      <c r="H19" s="49"/>
    </row>
    <row r="20" spans="1:8" ht="33.950000000000003" customHeight="1">
      <c r="A20" s="49" t="s">
        <v>255</v>
      </c>
      <c r="B20" s="49"/>
      <c r="C20" s="49"/>
      <c r="D20" s="49"/>
      <c r="E20" s="49"/>
      <c r="F20" s="49"/>
      <c r="G20" s="49"/>
      <c r="H20" s="49"/>
    </row>
    <row r="21" spans="1:8">
      <c r="A21" s="24"/>
      <c r="B21" s="24"/>
      <c r="C21" s="24"/>
      <c r="D21" s="24"/>
      <c r="E21" s="24"/>
      <c r="F21" s="24"/>
      <c r="G21" s="24"/>
      <c r="H21" s="24"/>
    </row>
    <row r="22" spans="1:8">
      <c r="A22" s="50" t="s">
        <v>256</v>
      </c>
      <c r="B22" s="50"/>
      <c r="C22" s="50"/>
      <c r="D22" s="50"/>
      <c r="E22" s="50"/>
      <c r="F22" s="50"/>
      <c r="G22" s="50"/>
      <c r="H22" s="50"/>
    </row>
    <row r="23" spans="1:8" ht="30" customHeight="1">
      <c r="A23" s="42" t="s">
        <v>257</v>
      </c>
      <c r="B23" s="42"/>
      <c r="C23" s="42"/>
      <c r="D23" s="42"/>
      <c r="E23" s="42"/>
      <c r="F23" s="42"/>
      <c r="G23" s="42"/>
      <c r="H23" s="42"/>
    </row>
    <row r="24" spans="1:8" ht="30" customHeight="1">
      <c r="A24" s="42" t="s">
        <v>258</v>
      </c>
      <c r="B24" s="42"/>
      <c r="C24" s="42"/>
      <c r="D24" s="42"/>
      <c r="E24" s="42"/>
      <c r="F24" s="42"/>
      <c r="G24" s="42"/>
      <c r="H24" s="42"/>
    </row>
    <row r="25" spans="1:8" ht="30" customHeight="1">
      <c r="A25" s="42" t="s">
        <v>259</v>
      </c>
      <c r="B25" s="42"/>
      <c r="C25" s="42"/>
      <c r="D25" s="42"/>
      <c r="E25" s="42"/>
      <c r="F25" s="42"/>
      <c r="G25" s="42"/>
      <c r="H25" s="42"/>
    </row>
    <row r="26" spans="1:8">
      <c r="A26" s="23"/>
      <c r="B26" s="23"/>
      <c r="C26" s="23"/>
      <c r="D26" s="23"/>
      <c r="E26" s="23"/>
      <c r="F26" s="23"/>
      <c r="G26" s="23"/>
      <c r="H26" s="23"/>
    </row>
    <row r="27" spans="1:8">
      <c r="A27" s="23"/>
      <c r="B27" s="23"/>
      <c r="C27" s="23"/>
      <c r="D27" s="23"/>
      <c r="E27" s="23"/>
      <c r="F27" s="23"/>
      <c r="G27" s="23"/>
      <c r="H27" s="23"/>
    </row>
    <row r="28" spans="1:8">
      <c r="A28" s="23"/>
      <c r="B28" s="23"/>
      <c r="C28" s="23"/>
      <c r="D28" s="23"/>
      <c r="E28" s="23"/>
      <c r="F28" s="23"/>
      <c r="G28" s="23"/>
      <c r="H28" s="23"/>
    </row>
    <row r="29" spans="1:8">
      <c r="A29" s="23"/>
      <c r="B29" s="23"/>
      <c r="C29" s="23"/>
      <c r="D29" s="23"/>
      <c r="E29" s="23"/>
      <c r="F29" s="23"/>
      <c r="G29" s="23"/>
      <c r="H29" s="23"/>
    </row>
    <row r="30" spans="1:8">
      <c r="A30" s="23"/>
      <c r="B30" s="23"/>
      <c r="C30" s="23"/>
      <c r="D30" s="23"/>
      <c r="E30" s="23"/>
      <c r="F30" s="23"/>
      <c r="G30" s="23"/>
      <c r="H30" s="23"/>
    </row>
  </sheetData>
  <mergeCells count="25">
    <mergeCell ref="A12:D12"/>
    <mergeCell ref="E12:H12"/>
    <mergeCell ref="A1:H1"/>
    <mergeCell ref="A2:H2"/>
    <mergeCell ref="A4:H4"/>
    <mergeCell ref="B5:H5"/>
    <mergeCell ref="B6:H6"/>
    <mergeCell ref="B7:H7"/>
    <mergeCell ref="B8:H8"/>
    <mergeCell ref="A10:D10"/>
    <mergeCell ref="E10:H10"/>
    <mergeCell ref="A11:D11"/>
    <mergeCell ref="E11:H11"/>
    <mergeCell ref="A25:H25"/>
    <mergeCell ref="A13:D13"/>
    <mergeCell ref="E13:H13"/>
    <mergeCell ref="A14:D14"/>
    <mergeCell ref="E14:H14"/>
    <mergeCell ref="A17:H17"/>
    <mergeCell ref="A18:H18"/>
    <mergeCell ref="A19:H19"/>
    <mergeCell ref="A20:H20"/>
    <mergeCell ref="A22:H22"/>
    <mergeCell ref="A23:H23"/>
    <mergeCell ref="A24:H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6:C7"/>
  <sheetViews>
    <sheetView workbookViewId="0"/>
  </sheetViews>
  <sheetFormatPr defaultColWidth="8.75" defaultRowHeight="15"/>
  <cols>
    <col min="1" max="1" width="24" style="1" customWidth="1"/>
    <col min="2" max="2" width="22" style="1" customWidth="1"/>
    <col min="3" max="3" width="72" style="1" customWidth="1"/>
    <col min="4" max="16384" width="8.75" style="1"/>
  </cols>
  <sheetData>
    <row r="6" spans="1:3" ht="12" customHeight="1">
      <c r="A6" s="10" t="s">
        <v>0</v>
      </c>
      <c r="B6" s="10" t="s">
        <v>1</v>
      </c>
      <c r="C6" s="10" t="s">
        <v>2</v>
      </c>
    </row>
    <row r="7" spans="1:3">
      <c r="A7" s="12"/>
      <c r="B7" s="9"/>
      <c r="C7" s="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6:I7"/>
  <sheetViews>
    <sheetView topLeftCell="E1" workbookViewId="0">
      <selection activeCell="H6" sqref="H6:H7"/>
    </sheetView>
  </sheetViews>
  <sheetFormatPr defaultColWidth="8.75" defaultRowHeight="15"/>
  <cols>
    <col min="1" max="1" width="14.875" style="8" customWidth="1"/>
    <col min="2" max="2" width="50.375" style="1" customWidth="1"/>
    <col min="3" max="3" width="34.625" style="1" customWidth="1"/>
    <col min="4" max="4" width="28.625" style="1" customWidth="1"/>
    <col min="5" max="7" width="34.625" style="1" customWidth="1"/>
    <col min="8" max="8" width="22.625" style="1" customWidth="1"/>
    <col min="9" max="16384" width="8.75" style="1"/>
  </cols>
  <sheetData>
    <row r="6" spans="1:9" ht="36" customHeight="1">
      <c r="A6" s="15" t="s">
        <v>3</v>
      </c>
      <c r="B6" s="10" t="s">
        <v>4</v>
      </c>
      <c r="C6" s="10" t="s">
        <v>5</v>
      </c>
      <c r="D6" s="10" t="s">
        <v>6</v>
      </c>
      <c r="E6" s="10" t="s">
        <v>7</v>
      </c>
      <c r="F6" s="10" t="s">
        <v>8</v>
      </c>
      <c r="G6" s="10" t="s">
        <v>169</v>
      </c>
      <c r="H6" s="10" t="s">
        <v>332</v>
      </c>
      <c r="I6" s="10" t="s">
        <v>9</v>
      </c>
    </row>
    <row r="7" spans="1:9" ht="12" customHeight="1"/>
  </sheetData>
  <phoneticPr fontId="4" type="noConversion"/>
  <dataValidations count="2">
    <dataValidation type="custom" allowBlank="1" showInputMessage="1" showErrorMessage="1" errorTitle="Invalid Mapping entry" error="Enter either a blank or exactly 8 digits." sqref="A7" xr:uid="{3BA45329-15D4-4708-827C-D0900A4FB295}">
      <formula1>OR(A7="",AND(LEN(A7)=8,ISNUMBER(--A7)))</formula1>
    </dataValidation>
    <dataValidation type="list" allowBlank="1" showInputMessage="1" showErrorMessage="1" errorTitle="Invalid Mapping entry" error="Select a permitted value from the list." sqref="C7" xr:uid="{A91223C3-C70B-4305-A83C-69D7BC3B7BEA}">
      <formula1>"Pay,Non-Pay,Unknown - AccountCode Pay / Non-Pay"</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6:AD7"/>
  <sheetViews>
    <sheetView topLeftCell="T1" workbookViewId="0">
      <selection activeCell="Z6" sqref="Z6:Z7"/>
    </sheetView>
  </sheetViews>
  <sheetFormatPr defaultColWidth="8.75" defaultRowHeight="15"/>
  <cols>
    <col min="1" max="4" width="15.75" style="8" customWidth="1"/>
    <col min="5" max="24" width="15.75" style="1" customWidth="1"/>
    <col min="25" max="25" width="29.375" style="1" customWidth="1"/>
    <col min="26" max="26" width="17.875" style="1" customWidth="1"/>
    <col min="27" max="27" width="15.75" style="1" customWidth="1"/>
    <col min="28" max="16384" width="8.75" style="1"/>
  </cols>
  <sheetData>
    <row r="6" spans="1:30" ht="75">
      <c r="A6" s="13" t="s">
        <v>3</v>
      </c>
      <c r="B6" s="13" t="s">
        <v>10</v>
      </c>
      <c r="C6" s="13" t="s">
        <v>11</v>
      </c>
      <c r="D6" s="13" t="s">
        <v>12</v>
      </c>
      <c r="E6" s="2" t="s">
        <v>13</v>
      </c>
      <c r="F6" s="2" t="s">
        <v>14</v>
      </c>
      <c r="G6" s="2" t="s">
        <v>15</v>
      </c>
      <c r="H6" s="2" t="s">
        <v>16</v>
      </c>
      <c r="I6" s="2" t="s">
        <v>17</v>
      </c>
      <c r="J6" s="2" t="s">
        <v>18</v>
      </c>
      <c r="K6" s="2" t="s">
        <v>19</v>
      </c>
      <c r="L6" s="2" t="s">
        <v>20</v>
      </c>
      <c r="M6" s="2" t="s">
        <v>21</v>
      </c>
      <c r="N6" s="2" t="s">
        <v>22</v>
      </c>
      <c r="O6" s="2" t="s">
        <v>23</v>
      </c>
      <c r="P6" s="2" t="s">
        <v>24</v>
      </c>
      <c r="Q6" s="2" t="s">
        <v>25</v>
      </c>
      <c r="R6" s="2" t="s">
        <v>26</v>
      </c>
      <c r="S6" s="2" t="s">
        <v>27</v>
      </c>
      <c r="T6" s="2" t="s">
        <v>28</v>
      </c>
      <c r="U6" s="2" t="s">
        <v>29</v>
      </c>
      <c r="V6" s="2" t="s">
        <v>30</v>
      </c>
      <c r="W6" s="2" t="s">
        <v>31</v>
      </c>
      <c r="X6" s="2" t="s">
        <v>32</v>
      </c>
      <c r="Y6" s="2" t="s">
        <v>170</v>
      </c>
      <c r="Z6" s="2" t="s">
        <v>333</v>
      </c>
      <c r="AA6" s="2" t="s">
        <v>33</v>
      </c>
      <c r="AB6" s="2" t="s">
        <v>34</v>
      </c>
      <c r="AC6" s="2" t="s">
        <v>35</v>
      </c>
      <c r="AD6" s="2" t="s">
        <v>36</v>
      </c>
    </row>
    <row r="7" spans="1:30" ht="12" customHeight="1">
      <c r="E7" s="8"/>
      <c r="G7" s="8"/>
      <c r="H7" s="8"/>
      <c r="J7" s="8"/>
      <c r="K7" s="8"/>
      <c r="M7" s="8"/>
      <c r="N7" s="8"/>
      <c r="P7" s="8"/>
      <c r="Q7" s="8"/>
      <c r="S7" s="8"/>
      <c r="T7" s="8"/>
      <c r="V7" s="8"/>
    </row>
  </sheetData>
  <phoneticPr fontId="4" type="noConversion"/>
  <dataValidations count="18">
    <dataValidation type="custom" allowBlank="1" showInputMessage="1" showErrorMessage="1" errorTitle="Invalid Mapping entry" error="Enter either a blank or exactly 8 digits." sqref="A7" xr:uid="{6D04496D-EDA6-4DF9-992F-C927A6AA90AF}">
      <formula1>OR(A7="",AND(LEN(A7)=8,ISNUMBER(--A7)))</formula1>
    </dataValidation>
    <dataValidation type="custom" allowBlank="1" showInputMessage="1" showErrorMessage="1" errorTitle="Invalid Mapping entry" error="Enter both PO Number and PO Line, or leave both blank. PO Number is stored as text and is not forced to seven characters." sqref="C7" xr:uid="{51A1D283-F038-428C-929B-88C283A0EA33}">
      <formula1>OR(AND(C7="",D7=""),AND(C7&lt;&gt;"",D7&lt;&gt;""))</formula1>
    </dataValidation>
    <dataValidation type="custom" allowBlank="1" showInputMessage="1" showErrorMessage="1" errorTitle="Invalid Mapping entry" error="Enter both PO Number and PO Line, or leave both blank. PO Line is stored as text and may contain sub-lines such as 2.1." sqref="D7" xr:uid="{4855C7C2-2C51-40E1-A719-2BD621F7D280}">
      <formula1>OR(AND(C7="",D7=""),AND(C7&lt;&gt;"",D7&lt;&gt;""))</formula1>
    </dataValidation>
    <dataValidation type="list" allowBlank="1" showInputMessage="1" showErrorMessage="1" errorTitle="Invalid Mapping entry" error="Select a permitted value from the list." sqref="F7 U7 R7 O7 L7 I7" xr:uid="{C1408119-191F-40C4-B935-15BB257D40F2}">
      <formula1>"Equals,Not Equal To,Between,Starts With,Ends With,Contains,Greater Than,Less Than"</formula1>
    </dataValidation>
    <dataValidation type="custom" allowBlank="1" showInputMessage="1" showErrorMessage="1" errorTitle="Invalid Mapping entry" error="Entity must contain digits. Partial values are allowed only for Starts With, Ends With or Contains." sqref="E7" xr:uid="{5B7794A2-F311-49C4-AA54-ACEE574B8A08}">
      <formula1>OR(E7="",AND(ISNUMBER(--E7),IF(OR(F7="Starts With",F7="Ends With",F7="Contains"),AND(LEN(E7)&gt;=1,LEN(E7)&lt;=3),LEN(E7)=3)))</formula1>
    </dataValidation>
    <dataValidation type="custom" allowBlank="1" showInputMessage="1" showErrorMessage="1" errorTitle="Invalid Mapping entry" error="Entity 2 is only used with Between and must contain exactly 3 digits." sqref="G7" xr:uid="{BDD7ADB8-CC6E-4295-9470-5B7AEE2FC429}">
      <formula1>OR(G7="",AND(F7="Between",LEN(G7)=3,ISNUMBER(--G7)))</formula1>
    </dataValidation>
    <dataValidation type="custom" allowBlank="1" showInputMessage="1" showErrorMessage="1" errorTitle="Invalid Mapping entry" error="Cost Centre must contain digits. Partial values are allowed only for Starts With, Ends With or Contains." sqref="H7" xr:uid="{903D71A6-3E1E-4D31-83E0-7176BA53C8B4}">
      <formula1>OR(H7="",AND(ISNUMBER(--H7),IF(OR(I7="Starts With",I7="Ends With",I7="Contains"),AND(LEN(H7)&gt;=1,LEN(H7)&lt;=6),LEN(H7)=6)))</formula1>
    </dataValidation>
    <dataValidation type="custom" allowBlank="1" showInputMessage="1" showErrorMessage="1" errorTitle="Invalid Mapping entry" error="Cost Centre 2 is only used with Between and must contain exactly 6 digits." sqref="J7" xr:uid="{126BF152-2400-4955-BA33-0B8388FE705C}">
      <formula1>OR(J7="",AND(I7="Between",LEN(J7)=6,ISNUMBER(--J7)))</formula1>
    </dataValidation>
    <dataValidation type="custom" allowBlank="1" showInputMessage="1" showErrorMessage="1" errorTitle="Invalid Mapping entry" error="Activity must contain digits. Partial values are allowed only for Starts With, Ends With or Contains." sqref="K7" xr:uid="{527B6CCD-0734-4FC5-B6EB-C11F726B1D5E}">
      <formula1>OR(K7="",AND(ISNUMBER(--K7),IF(OR(L7="Starts With",L7="Ends With",L7="Contains"),AND(LEN(K7)&gt;=1,LEN(K7)&lt;=8),LEN(K7)=8)))</formula1>
    </dataValidation>
    <dataValidation type="custom" allowBlank="1" showInputMessage="1" showErrorMessage="1" errorTitle="Invalid Mapping entry" error="Activity 2 is only used with Between and must contain exactly 8 digits." sqref="M7" xr:uid="{2C5979DD-B5FB-4ABD-AFF1-4B7DA9C7657B}">
      <formula1>OR(M7="",AND(L7="Between",LEN(M7)=8,ISNUMBER(--M7)))</formula1>
    </dataValidation>
    <dataValidation type="custom" allowBlank="1" showInputMessage="1" showErrorMessage="1" errorTitle="Invalid Mapping entry" error="Auxiliary must contain digits. Partial values are allowed only for Starts With, Ends With or Contains." sqref="N7" xr:uid="{A38EC9AD-5FA5-4D27-8879-81731ED0216A}">
      <formula1>OR(N7="",AND(ISNUMBER(--N7),IF(OR(O7="Starts With",O7="Ends With",O7="Contains"),AND(LEN(N7)&gt;=1,LEN(N7)&lt;=6),LEN(N7)=6)))</formula1>
    </dataValidation>
    <dataValidation type="custom" allowBlank="1" showInputMessage="1" showErrorMessage="1" errorTitle="Invalid Mapping entry" error="Auxiliary 2 is only used with Between and must contain exactly 6 digits." sqref="P7" xr:uid="{FE5EF708-4B71-44C3-8DC6-CCBD586CBABE}">
      <formula1>OR(P7="",AND(O7="Between",LEN(P7)=6,ISNUMBER(--P7)))</formula1>
    </dataValidation>
    <dataValidation type="custom" allowBlank="1" showInputMessage="1" showErrorMessage="1" errorTitle="Invalid Mapping entry" error="Intercompany must contain digits. Partial values are allowed only for Starts With, Ends With or Contains." sqref="Q7" xr:uid="{97AD283B-14AC-4924-8A9A-8CD348396378}">
      <formula1>OR(Q7="",AND(ISNUMBER(--Q7),IF(OR(R7="Starts With",R7="Ends With",R7="Contains"),AND(LEN(Q7)&gt;=1,LEN(Q7)&lt;=3),LEN(Q7)=3)))</formula1>
    </dataValidation>
    <dataValidation type="custom" allowBlank="1" showInputMessage="1" showErrorMessage="1" errorTitle="Invalid Mapping entry" error="Intercompany 2 is only used with Between and must contain exactly 3 digits." sqref="S7" xr:uid="{42D29113-47C0-4D9F-AD2D-E885A685489C}">
      <formula1>OR(S7="",AND(R7="Between",LEN(S7)=3,ISNUMBER(--S7)))</formula1>
    </dataValidation>
    <dataValidation type="custom" allowBlank="1" showInputMessage="1" showErrorMessage="1" errorTitle="Invalid Mapping entry" error="Spare must contain digits. Partial values are allowed only for Starts With, Ends With or Contains." sqref="T7" xr:uid="{17D1B88F-5634-45F7-9720-4B41A6731379}">
      <formula1>OR(T7="",AND(ISNUMBER(--T7),IF(OR(U7="Starts With",U7="Ends With",U7="Contains"),AND(LEN(T7)&gt;=1,LEN(T7)&lt;=3),LEN(T7)=3)))</formula1>
    </dataValidation>
    <dataValidation type="custom" allowBlank="1" showInputMessage="1" showErrorMessage="1" errorTitle="Invalid Mapping entry" error="Spare 2 is only used with Between and must contain exactly 3 digits." sqref="V7" xr:uid="{1E0FCC32-9757-4529-BD73-EC1AF66454CA}">
      <formula1>OR(V7="",AND(U7="Between",LEN(V7)=3,ISNUMBER(--V7)))</formula1>
    </dataValidation>
    <dataValidation type="list" allowBlank="1" showInputMessage="1" showErrorMessage="1" errorTitle="Invalid Mapping entry" error="Select a permitted value from the list." sqref="AA7" xr:uid="{C6C8273A-50C6-49F7-AB4B-D08F7F775976}">
      <formula1>"Pay,Non-Pay,Unknown - AccountCode Pay / Non-Pay"</formula1>
    </dataValidation>
    <dataValidation type="list" allowBlank="1" showInputMessage="1" showErrorMessage="1" errorTitle="Invalid Mapping entry" error="Select a permitted value from the list." sqref="AC7" xr:uid="{CE0FD371-B775-41D7-BC15-F4AC79590DE8}">
      <formula1>"CDEL,RDEL,RAD,Project CDEL,Project RDEL,Project RAD,Unknown - AccountCodeOverride CoM"</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6:J6"/>
  <sheetViews>
    <sheetView workbookViewId="0"/>
  </sheetViews>
  <sheetFormatPr defaultColWidth="8.75" defaultRowHeight="15"/>
  <cols>
    <col min="1" max="4" width="20.5" style="8" customWidth="1"/>
    <col min="5" max="5" width="23.5" style="1" customWidth="1"/>
    <col min="6" max="6" width="21.125" style="1" customWidth="1"/>
    <col min="7" max="9" width="18.625" style="1" customWidth="1"/>
    <col min="10" max="16384" width="8.75" style="1"/>
  </cols>
  <sheetData>
    <row r="6" spans="1:10">
      <c r="A6" s="8" t="s">
        <v>37</v>
      </c>
      <c r="B6" s="8" t="s">
        <v>11</v>
      </c>
      <c r="C6" s="8" t="s">
        <v>12</v>
      </c>
      <c r="D6" s="8" t="s">
        <v>10</v>
      </c>
      <c r="E6" s="1" t="s">
        <v>38</v>
      </c>
      <c r="F6" s="1" t="s">
        <v>39</v>
      </c>
      <c r="G6" s="1" t="s">
        <v>40</v>
      </c>
      <c r="H6" s="1" t="s">
        <v>41</v>
      </c>
      <c r="I6" s="1" t="s">
        <v>42</v>
      </c>
      <c r="J6" s="1" t="s">
        <v>36</v>
      </c>
    </row>
  </sheetData>
  <dataValidations count="4">
    <dataValidation type="custom" allowBlank="1" showInputMessage="1" showErrorMessage="1" errorTitle="Invalid Mapping entry" error="Enter either a blank or exactly 6 digits." sqref="A7" xr:uid="{FA8FE655-3F92-4396-AD85-B032E0FBF9F0}">
      <formula1>OR(A7="",AND(LEN(A7)=6,ISNUMBER(--A7)))</formula1>
    </dataValidation>
    <dataValidation type="list" allowBlank="1" showInputMessage="1" showErrorMessage="1" errorTitle="Invalid Mapping entry" error="Select a permitted value from the list." sqref="F7" xr:uid="{ECA0193F-857C-4C4C-9F70-792398647DFD}">
      <formula1>"RDEL,Admin,Project RDEL,Unknown - CostCentre Cost Centre Type"</formula1>
    </dataValidation>
    <dataValidation type="custom" allowBlank="1" showInputMessage="1" showErrorMessage="1" errorTitle="Invalid Mapping entry" error="Enter both PO Number and PO Line, or leave both blank. PO Number is stored as text and is not forced to seven characters." sqref="B7" xr:uid="{7F3A5520-77F1-46E0-BECB-3A5F127FF1C3}">
      <formula1>OR(AND(B7="",C7=""),AND(B7&lt;&gt;"",C7&lt;&gt;""))</formula1>
    </dataValidation>
    <dataValidation type="custom" allowBlank="1" showInputMessage="1" showErrorMessage="1" errorTitle="Invalid Mapping entry" error="Enter both PO Number and PO Line, or leave both blank. PO Line is stored as text and may contain sub-lines such as 2.1." sqref="C7" xr:uid="{A0F73438-FF18-4E72-BB8C-E05E5F9FF7F3}">
      <formula1>OR(AND(B7="",C7=""),AND(B7&lt;&gt;"",C7&lt;&gt;""))</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6:F6"/>
  <sheetViews>
    <sheetView workbookViewId="0">
      <selection activeCell="C6" sqref="C6"/>
    </sheetView>
  </sheetViews>
  <sheetFormatPr defaultColWidth="8.75" defaultRowHeight="15"/>
  <cols>
    <col min="1" max="1" width="12.75" style="8" customWidth="1"/>
    <col min="2" max="3" width="9.5" style="8" customWidth="1"/>
    <col min="4" max="4" width="28.125" style="1" customWidth="1"/>
    <col min="5" max="5" width="21.75" style="1" customWidth="1"/>
    <col min="6" max="6" width="22.5" style="1" customWidth="1"/>
    <col min="7" max="16384" width="8.75" style="1"/>
  </cols>
  <sheetData>
    <row r="6" spans="1:6">
      <c r="A6" s="8" t="s">
        <v>11</v>
      </c>
      <c r="B6" s="8" t="s">
        <v>12</v>
      </c>
      <c r="C6" s="8" t="s">
        <v>10</v>
      </c>
      <c r="D6" s="1" t="s">
        <v>43</v>
      </c>
      <c r="E6" s="1" t="s">
        <v>44</v>
      </c>
      <c r="F6" s="1" t="s">
        <v>36</v>
      </c>
    </row>
  </sheetData>
  <dataValidations count="3">
    <dataValidation type="custom" allowBlank="1" showInputMessage="1" showErrorMessage="1" errorTitle="Invalid Mapping entry" error="Enter a numeric value or leave the cell blank." sqref="D7" xr:uid="{FAE0526B-AC0C-4348-8B79-6BE072B51940}">
      <formula1>OR(D7="",ISNUMBER(D7))</formula1>
    </dataValidation>
    <dataValidation type="custom" allowBlank="1" showInputMessage="1" showErrorMessage="1" errorTitle="Invalid Mapping entry" error="Enter both PO Number and PO Line, or leave both blank. PO Number is stored as text and is not forced to seven characters." sqref="A7" xr:uid="{188B3D64-3807-4BA1-908A-DEB3AE466C3D}">
      <formula1>OR(AND(A7="",B7=""),AND(A7&lt;&gt;"",B7&lt;&gt;""))</formula1>
    </dataValidation>
    <dataValidation type="custom" allowBlank="1" showInputMessage="1" showErrorMessage="1" errorTitle="Invalid Mapping entry" error="Enter both PO Number and PO Line, or leave both blank. PO Line is stored as text and may contain sub-lines such as 2.1." sqref="B7" xr:uid="{243F6CA6-5662-4ABB-86A9-55EA8958287C}">
      <formula1>OR(AND(A7="",B7=""),AND(A7&lt;&gt;"",B7&lt;&gt;""))</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2165A-E78B-4CD3-B50C-549D707DCA14}">
  <sheetPr codeName="Sheet13"/>
  <dimension ref="A1:R7"/>
  <sheetViews>
    <sheetView workbookViewId="0">
      <selection activeCell="B6" sqref="B6"/>
    </sheetView>
  </sheetViews>
  <sheetFormatPr defaultRowHeight="14.25"/>
  <cols>
    <col min="1" max="1" width="28.625" style="9" customWidth="1"/>
    <col min="2" max="2" width="16.625" customWidth="1"/>
    <col min="3" max="3" width="12.625" customWidth="1"/>
    <col min="4" max="16" width="14.625" customWidth="1"/>
    <col min="17" max="17" width="42.625" style="9" customWidth="1"/>
    <col min="18" max="18" width="24.625" customWidth="1"/>
  </cols>
  <sheetData>
    <row r="1" spans="1:18" ht="27.95" customHeight="1">
      <c r="A1" s="54" t="s">
        <v>337</v>
      </c>
      <c r="B1" s="54"/>
      <c r="C1" s="54"/>
      <c r="D1" s="54"/>
      <c r="E1" s="54"/>
      <c r="F1" s="54"/>
      <c r="G1" s="54"/>
      <c r="H1" s="54"/>
      <c r="I1" s="54"/>
      <c r="J1" s="54"/>
      <c r="K1" s="54"/>
      <c r="L1" s="54"/>
      <c r="M1" s="54"/>
      <c r="N1" s="54"/>
      <c r="O1" s="54"/>
      <c r="P1" s="54"/>
      <c r="Q1" s="54"/>
      <c r="R1" s="54"/>
    </row>
    <row r="2" spans="1:18" ht="36" customHeight="1">
      <c r="A2" s="55" t="s">
        <v>338</v>
      </c>
      <c r="B2" s="55"/>
      <c r="C2" s="55"/>
      <c r="D2" s="55"/>
      <c r="E2" s="55"/>
      <c r="F2" s="55"/>
      <c r="G2" s="55"/>
      <c r="H2" s="55"/>
      <c r="I2" s="55"/>
      <c r="J2" s="55"/>
      <c r="K2" s="55"/>
      <c r="L2" s="55"/>
      <c r="M2" s="55"/>
      <c r="N2" s="55"/>
      <c r="O2" s="55"/>
      <c r="P2" s="55"/>
      <c r="Q2" s="55"/>
      <c r="R2" s="55"/>
    </row>
    <row r="3" spans="1:18" ht="33.950000000000003" customHeight="1">
      <c r="A3" s="55" t="s">
        <v>339</v>
      </c>
      <c r="B3" s="55"/>
      <c r="C3" s="55"/>
      <c r="D3" s="55"/>
      <c r="E3" s="55"/>
      <c r="F3" s="55"/>
      <c r="G3" s="55"/>
      <c r="H3" s="55"/>
      <c r="I3" s="55"/>
      <c r="J3" s="55" t="s">
        <v>340</v>
      </c>
      <c r="K3" s="55"/>
      <c r="L3" s="55"/>
      <c r="M3" s="55"/>
      <c r="N3" s="55"/>
      <c r="O3" s="55"/>
      <c r="P3" s="55"/>
      <c r="Q3" s="55"/>
      <c r="R3" s="55"/>
    </row>
    <row r="6" spans="1:18" ht="15">
      <c r="A6" s="15" t="s">
        <v>331</v>
      </c>
      <c r="B6" s="8" t="s">
        <v>11</v>
      </c>
      <c r="C6" s="8" t="s">
        <v>12</v>
      </c>
      <c r="D6" s="8" t="s">
        <v>330</v>
      </c>
      <c r="E6" s="29" t="s">
        <v>317</v>
      </c>
      <c r="F6" s="29" t="s">
        <v>318</v>
      </c>
      <c r="G6" s="29" t="s">
        <v>319</v>
      </c>
      <c r="H6" s="29" t="s">
        <v>320</v>
      </c>
      <c r="I6" s="29" t="s">
        <v>321</v>
      </c>
      <c r="J6" s="29" t="s">
        <v>323</v>
      </c>
      <c r="K6" s="29" t="s">
        <v>322</v>
      </c>
      <c r="L6" s="29" t="s">
        <v>324</v>
      </c>
      <c r="M6" s="29" t="s">
        <v>325</v>
      </c>
      <c r="N6" s="29" t="s">
        <v>326</v>
      </c>
      <c r="O6" s="29" t="s">
        <v>327</v>
      </c>
      <c r="P6" s="29" t="s">
        <v>328</v>
      </c>
      <c r="Q6" s="15" t="s">
        <v>329</v>
      </c>
      <c r="R6" s="8" t="s">
        <v>36</v>
      </c>
    </row>
    <row r="7" spans="1:18" ht="15">
      <c r="A7" s="15"/>
      <c r="B7" s="8"/>
      <c r="C7" s="8"/>
      <c r="D7" s="8"/>
      <c r="E7" s="29"/>
      <c r="F7" s="29"/>
      <c r="G7" s="29"/>
      <c r="H7" s="29"/>
      <c r="I7" s="29"/>
      <c r="J7" s="29"/>
      <c r="K7" s="29"/>
      <c r="L7" s="29"/>
      <c r="M7" s="29"/>
      <c r="N7" s="29"/>
      <c r="O7" s="29"/>
      <c r="P7" s="29"/>
      <c r="Q7" s="15"/>
      <c r="R7" s="1"/>
    </row>
  </sheetData>
  <mergeCells count="4">
    <mergeCell ref="A1:R1"/>
    <mergeCell ref="A2:R2"/>
    <mergeCell ref="A3:I3"/>
    <mergeCell ref="J3:R3"/>
  </mergeCells>
  <phoneticPr fontId="4" type="noConversion"/>
  <dataValidations count="4">
    <dataValidation type="list" allowBlank="1" showInputMessage="1" showErrorMessage="1" sqref="D7" xr:uid="{52500648-F9EE-4261-AA73-A6B01EB5FAC7}">
      <formula1>FinancialYearList</formula1>
    </dataValidation>
    <dataValidation type="custom" allowBlank="1" showInputMessage="1" showErrorMessage="1" errorTitle="Invalid Mapping entry" error="Enter a numeric value or leave the cell blank." sqref="E7:P7" xr:uid="{1B6E902E-FF25-45D0-9612-2A1A95CA8A0D}">
      <formula1>OR(E7="",ISNUMBER(E7))</formula1>
    </dataValidation>
    <dataValidation type="custom" allowBlank="1" showInputMessage="1" showErrorMessage="1" errorTitle="Invalid Mapping entry" error="Enter both PO Number and PO Line, or leave both blank. PO Number is stored as text and is not forced to seven characters." sqref="B7" xr:uid="{83D8A0BB-1767-420A-92B9-F88C065F533D}">
      <formula1>OR(AND(B7="",C7=""),AND(B7&lt;&gt;"",C7&lt;&gt;""))</formula1>
    </dataValidation>
    <dataValidation type="custom" allowBlank="1" showInputMessage="1" showErrorMessage="1" errorTitle="Invalid Mapping entry" error="Enter both PO Number and PO Line, or leave both blank. PO Line is stored as text and may contain sub-lines such as 2.1." sqref="C7" xr:uid="{41DFCD82-A6E2-43E8-BCA5-B1B893E3D759}">
      <formula1>OR(AND(B7="",C7=""),AND(B7&lt;&gt;"",C7&lt;&gt;""))</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70709-9824-47AE-9E36-58D2E6E3E9E9}">
  <sheetPr codeName="Sheet14"/>
  <dimension ref="C6:C100"/>
  <sheetViews>
    <sheetView topLeftCell="A73" workbookViewId="0">
      <selection activeCell="C100" sqref="C6:C100"/>
    </sheetView>
  </sheetViews>
  <sheetFormatPr defaultRowHeight="14.25"/>
  <sheetData>
    <row r="6" spans="3:3">
      <c r="C6" s="26" t="str">
        <f ca="1">IF(ROWS($A$1:A1)&lt;=YEAR(TODAY())-2020+2,TEXT(MOD(2019+ROWS($A$1:A1),100),"00")&amp;"/"&amp;TEXT(MOD(2020+ROWS($A$1:A1),100),"00"),"")</f>
        <v>20/21</v>
      </c>
    </row>
    <row r="7" spans="3:3">
      <c r="C7" s="27" t="str">
        <f ca="1">IF(ROWS($A$1:A2)&lt;=YEAR(TODAY())-2020+2,TEXT(MOD(2019+ROWS($A$1:A2),100),"00")&amp;"/"&amp;TEXT(MOD(2020+ROWS($A$1:A2),100),"00"),"")</f>
        <v>21/22</v>
      </c>
    </row>
    <row r="8" spans="3:3">
      <c r="C8" s="27" t="str">
        <f ca="1">IF(ROWS($A$1:A3)&lt;=YEAR(TODAY())-2020+2,TEXT(MOD(2019+ROWS($A$1:A3),100),"00")&amp;"/"&amp;TEXT(MOD(2020+ROWS($A$1:A3),100),"00"),"")</f>
        <v>22/23</v>
      </c>
    </row>
    <row r="9" spans="3:3">
      <c r="C9" s="27" t="str">
        <f ca="1">IF(ROWS($A$1:A4)&lt;=YEAR(TODAY())-2020+2,TEXT(MOD(2019+ROWS($A$1:A4),100),"00")&amp;"/"&amp;TEXT(MOD(2020+ROWS($A$1:A4),100),"00"),"")</f>
        <v>23/24</v>
      </c>
    </row>
    <row r="10" spans="3:3">
      <c r="C10" s="27" t="str">
        <f ca="1">IF(ROWS($A$1:A5)&lt;=YEAR(TODAY())-2020+2,TEXT(MOD(2019+ROWS($A$1:A5),100),"00")&amp;"/"&amp;TEXT(MOD(2020+ROWS($A$1:A5),100),"00"),"")</f>
        <v>24/25</v>
      </c>
    </row>
    <row r="11" spans="3:3">
      <c r="C11" s="27" t="str">
        <f ca="1">IF(ROWS($A$1:A6)&lt;=YEAR(TODAY())-2020+2,TEXT(MOD(2019+ROWS($A$1:A6),100),"00")&amp;"/"&amp;TEXT(MOD(2020+ROWS($A$1:A6),100),"00"),"")</f>
        <v>25/26</v>
      </c>
    </row>
    <row r="12" spans="3:3">
      <c r="C12" s="27" t="str">
        <f ca="1">IF(ROWS($A$1:A7)&lt;=YEAR(TODAY())-2020+2,TEXT(MOD(2019+ROWS($A$1:A7),100),"00")&amp;"/"&amp;TEXT(MOD(2020+ROWS($A$1:A7),100),"00"),"")</f>
        <v>26/27</v>
      </c>
    </row>
    <row r="13" spans="3:3">
      <c r="C13" s="27" t="str">
        <f ca="1">IF(ROWS($A$1:A8)&lt;=YEAR(TODAY())-2020+2,TEXT(MOD(2019+ROWS($A$1:A8),100),"00")&amp;"/"&amp;TEXT(MOD(2020+ROWS($A$1:A8),100),"00"),"")</f>
        <v>27/28</v>
      </c>
    </row>
    <row r="14" spans="3:3">
      <c r="C14" s="27" t="str">
        <f ca="1">IF(ROWS($A$1:A9)&lt;=YEAR(TODAY())-2020+2,TEXT(MOD(2019+ROWS($A$1:A9),100),"00")&amp;"/"&amp;TEXT(MOD(2020+ROWS($A$1:A9),100),"00"),"")</f>
        <v/>
      </c>
    </row>
    <row r="15" spans="3:3">
      <c r="C15" s="27" t="str">
        <f ca="1">IF(ROWS($A$1:A10)&lt;=YEAR(TODAY())-2020+2,TEXT(MOD(2019+ROWS($A$1:A10),100),"00")&amp;"/"&amp;TEXT(MOD(2020+ROWS($A$1:A10),100),"00"),"")</f>
        <v/>
      </c>
    </row>
    <row r="16" spans="3:3">
      <c r="C16" s="27" t="str">
        <f ca="1">IF(ROWS($A$1:A11)&lt;=YEAR(TODAY())-2020+2,TEXT(MOD(2019+ROWS($A$1:A11),100),"00")&amp;"/"&amp;TEXT(MOD(2020+ROWS($A$1:A11),100),"00"),"")</f>
        <v/>
      </c>
    </row>
    <row r="17" spans="3:3">
      <c r="C17" s="27" t="str">
        <f ca="1">IF(ROWS($A$1:A12)&lt;=YEAR(TODAY())-2020+2,TEXT(MOD(2019+ROWS($A$1:A12),100),"00")&amp;"/"&amp;TEXT(MOD(2020+ROWS($A$1:A12),100),"00"),"")</f>
        <v/>
      </c>
    </row>
    <row r="18" spans="3:3">
      <c r="C18" s="27" t="str">
        <f ca="1">IF(ROWS($A$1:A13)&lt;=YEAR(TODAY())-2020+2,TEXT(MOD(2019+ROWS($A$1:A13),100),"00")&amp;"/"&amp;TEXT(MOD(2020+ROWS($A$1:A13),100),"00"),"")</f>
        <v/>
      </c>
    </row>
    <row r="19" spans="3:3">
      <c r="C19" s="27" t="str">
        <f ca="1">IF(ROWS($A$1:A14)&lt;=YEAR(TODAY())-2020+2,TEXT(MOD(2019+ROWS($A$1:A14),100),"00")&amp;"/"&amp;TEXT(MOD(2020+ROWS($A$1:A14),100),"00"),"")</f>
        <v/>
      </c>
    </row>
    <row r="20" spans="3:3">
      <c r="C20" s="27" t="str">
        <f ca="1">IF(ROWS($A$1:A15)&lt;=YEAR(TODAY())-2020+2,TEXT(MOD(2019+ROWS($A$1:A15),100),"00")&amp;"/"&amp;TEXT(MOD(2020+ROWS($A$1:A15),100),"00"),"")</f>
        <v/>
      </c>
    </row>
    <row r="21" spans="3:3">
      <c r="C21" s="27" t="str">
        <f ca="1">IF(ROWS($A$1:A16)&lt;=YEAR(TODAY())-2020+2,TEXT(MOD(2019+ROWS($A$1:A16),100),"00")&amp;"/"&amp;TEXT(MOD(2020+ROWS($A$1:A16),100),"00"),"")</f>
        <v/>
      </c>
    </row>
    <row r="22" spans="3:3">
      <c r="C22" s="27" t="str">
        <f ca="1">IF(ROWS($A$1:A17)&lt;=YEAR(TODAY())-2020+2,TEXT(MOD(2019+ROWS($A$1:A17),100),"00")&amp;"/"&amp;TEXT(MOD(2020+ROWS($A$1:A17),100),"00"),"")</f>
        <v/>
      </c>
    </row>
    <row r="23" spans="3:3">
      <c r="C23" s="27" t="str">
        <f ca="1">IF(ROWS($A$1:A18)&lt;=YEAR(TODAY())-2020+2,TEXT(MOD(2019+ROWS($A$1:A18),100),"00")&amp;"/"&amp;TEXT(MOD(2020+ROWS($A$1:A18),100),"00"),"")</f>
        <v/>
      </c>
    </row>
    <row r="24" spans="3:3">
      <c r="C24" s="27" t="str">
        <f ca="1">IF(ROWS($A$1:A19)&lt;=YEAR(TODAY())-2020+2,TEXT(MOD(2019+ROWS($A$1:A19),100),"00")&amp;"/"&amp;TEXT(MOD(2020+ROWS($A$1:A19),100),"00"),"")</f>
        <v/>
      </c>
    </row>
    <row r="25" spans="3:3">
      <c r="C25" s="27" t="str">
        <f ca="1">IF(ROWS($A$1:A20)&lt;=YEAR(TODAY())-2020+2,TEXT(MOD(2019+ROWS($A$1:A20),100),"00")&amp;"/"&amp;TEXT(MOD(2020+ROWS($A$1:A20),100),"00"),"")</f>
        <v/>
      </c>
    </row>
    <row r="26" spans="3:3">
      <c r="C26" s="27" t="str">
        <f ca="1">IF(ROWS($A$1:A21)&lt;=YEAR(TODAY())-2020+2,TEXT(MOD(2019+ROWS($A$1:A21),100),"00")&amp;"/"&amp;TEXT(MOD(2020+ROWS($A$1:A21),100),"00"),"")</f>
        <v/>
      </c>
    </row>
    <row r="27" spans="3:3">
      <c r="C27" s="27" t="str">
        <f ca="1">IF(ROWS($A$1:A22)&lt;=YEAR(TODAY())-2020+2,TEXT(MOD(2019+ROWS($A$1:A22),100),"00")&amp;"/"&amp;TEXT(MOD(2020+ROWS($A$1:A22),100),"00"),"")</f>
        <v/>
      </c>
    </row>
    <row r="28" spans="3:3">
      <c r="C28" s="27" t="str">
        <f ca="1">IF(ROWS($A$1:A23)&lt;=YEAR(TODAY())-2020+2,TEXT(MOD(2019+ROWS($A$1:A23),100),"00")&amp;"/"&amp;TEXT(MOD(2020+ROWS($A$1:A23),100),"00"),"")</f>
        <v/>
      </c>
    </row>
    <row r="29" spans="3:3">
      <c r="C29" s="27" t="str">
        <f ca="1">IF(ROWS($A$1:A24)&lt;=YEAR(TODAY())-2020+2,TEXT(MOD(2019+ROWS($A$1:A24),100),"00")&amp;"/"&amp;TEXT(MOD(2020+ROWS($A$1:A24),100),"00"),"")</f>
        <v/>
      </c>
    </row>
    <row r="30" spans="3:3">
      <c r="C30" s="27" t="str">
        <f ca="1">IF(ROWS($A$1:A25)&lt;=YEAR(TODAY())-2020+2,TEXT(MOD(2019+ROWS($A$1:A25),100),"00")&amp;"/"&amp;TEXT(MOD(2020+ROWS($A$1:A25),100),"00"),"")</f>
        <v/>
      </c>
    </row>
    <row r="31" spans="3:3">
      <c r="C31" s="27" t="str">
        <f ca="1">IF(ROWS($A$1:A26)&lt;=YEAR(TODAY())-2020+2,TEXT(MOD(2019+ROWS($A$1:A26),100),"00")&amp;"/"&amp;TEXT(MOD(2020+ROWS($A$1:A26),100),"00"),"")</f>
        <v/>
      </c>
    </row>
    <row r="32" spans="3:3">
      <c r="C32" s="27" t="str">
        <f ca="1">IF(ROWS($A$1:A27)&lt;=YEAR(TODAY())-2020+2,TEXT(MOD(2019+ROWS($A$1:A27),100),"00")&amp;"/"&amp;TEXT(MOD(2020+ROWS($A$1:A27),100),"00"),"")</f>
        <v/>
      </c>
    </row>
    <row r="33" spans="3:3">
      <c r="C33" s="27" t="str">
        <f ca="1">IF(ROWS($A$1:A28)&lt;=YEAR(TODAY())-2020+2,TEXT(MOD(2019+ROWS($A$1:A28),100),"00")&amp;"/"&amp;TEXT(MOD(2020+ROWS($A$1:A28),100),"00"),"")</f>
        <v/>
      </c>
    </row>
    <row r="34" spans="3:3">
      <c r="C34" s="27" t="str">
        <f ca="1">IF(ROWS($A$1:A29)&lt;=YEAR(TODAY())-2020+2,TEXT(MOD(2019+ROWS($A$1:A29),100),"00")&amp;"/"&amp;TEXT(MOD(2020+ROWS($A$1:A29),100),"00"),"")</f>
        <v/>
      </c>
    </row>
    <row r="35" spans="3:3">
      <c r="C35" s="27" t="str">
        <f ca="1">IF(ROWS($A$1:A30)&lt;=YEAR(TODAY())-2020+2,TEXT(MOD(2019+ROWS($A$1:A30),100),"00")&amp;"/"&amp;TEXT(MOD(2020+ROWS($A$1:A30),100),"00"),"")</f>
        <v/>
      </c>
    </row>
    <row r="36" spans="3:3">
      <c r="C36" s="27" t="str">
        <f ca="1">IF(ROWS($A$1:A31)&lt;=YEAR(TODAY())-2020+2,TEXT(MOD(2019+ROWS($A$1:A31),100),"00")&amp;"/"&amp;TEXT(MOD(2020+ROWS($A$1:A31),100),"00"),"")</f>
        <v/>
      </c>
    </row>
    <row r="37" spans="3:3">
      <c r="C37" s="27" t="str">
        <f ca="1">IF(ROWS($A$1:A32)&lt;=YEAR(TODAY())-2020+2,TEXT(MOD(2019+ROWS($A$1:A32),100),"00")&amp;"/"&amp;TEXT(MOD(2020+ROWS($A$1:A32),100),"00"),"")</f>
        <v/>
      </c>
    </row>
    <row r="38" spans="3:3">
      <c r="C38" s="27" t="str">
        <f ca="1">IF(ROWS($A$1:A33)&lt;=YEAR(TODAY())-2020+2,TEXT(MOD(2019+ROWS($A$1:A33),100),"00")&amp;"/"&amp;TEXT(MOD(2020+ROWS($A$1:A33),100),"00"),"")</f>
        <v/>
      </c>
    </row>
    <row r="39" spans="3:3">
      <c r="C39" s="27" t="str">
        <f ca="1">IF(ROWS($A$1:A34)&lt;=YEAR(TODAY())-2020+2,TEXT(MOD(2019+ROWS($A$1:A34),100),"00")&amp;"/"&amp;TEXT(MOD(2020+ROWS($A$1:A34),100),"00"),"")</f>
        <v/>
      </c>
    </row>
    <row r="40" spans="3:3">
      <c r="C40" s="27" t="str">
        <f ca="1">IF(ROWS($A$1:A35)&lt;=YEAR(TODAY())-2020+2,TEXT(MOD(2019+ROWS($A$1:A35),100),"00")&amp;"/"&amp;TEXT(MOD(2020+ROWS($A$1:A35),100),"00"),"")</f>
        <v/>
      </c>
    </row>
    <row r="41" spans="3:3">
      <c r="C41" s="27" t="str">
        <f ca="1">IF(ROWS($A$1:A36)&lt;=YEAR(TODAY())-2020+2,TEXT(MOD(2019+ROWS($A$1:A36),100),"00")&amp;"/"&amp;TEXT(MOD(2020+ROWS($A$1:A36),100),"00"),"")</f>
        <v/>
      </c>
    </row>
    <row r="42" spans="3:3">
      <c r="C42" s="27" t="str">
        <f ca="1">IF(ROWS($A$1:A37)&lt;=YEAR(TODAY())-2020+2,TEXT(MOD(2019+ROWS($A$1:A37),100),"00")&amp;"/"&amp;TEXT(MOD(2020+ROWS($A$1:A37),100),"00"),"")</f>
        <v/>
      </c>
    </row>
    <row r="43" spans="3:3">
      <c r="C43" s="27" t="str">
        <f ca="1">IF(ROWS($A$1:A38)&lt;=YEAR(TODAY())-2020+2,TEXT(MOD(2019+ROWS($A$1:A38),100),"00")&amp;"/"&amp;TEXT(MOD(2020+ROWS($A$1:A38),100),"00"),"")</f>
        <v/>
      </c>
    </row>
    <row r="44" spans="3:3">
      <c r="C44" s="27" t="str">
        <f ca="1">IF(ROWS($A$1:A39)&lt;=YEAR(TODAY())-2020+2,TEXT(MOD(2019+ROWS($A$1:A39),100),"00")&amp;"/"&amp;TEXT(MOD(2020+ROWS($A$1:A39),100),"00"),"")</f>
        <v/>
      </c>
    </row>
    <row r="45" spans="3:3">
      <c r="C45" s="27" t="str">
        <f ca="1">IF(ROWS($A$1:A40)&lt;=YEAR(TODAY())-2020+2,TEXT(MOD(2019+ROWS($A$1:A40),100),"00")&amp;"/"&amp;TEXT(MOD(2020+ROWS($A$1:A40),100),"00"),"")</f>
        <v/>
      </c>
    </row>
    <row r="46" spans="3:3">
      <c r="C46" s="27" t="str">
        <f ca="1">IF(ROWS($A$1:A41)&lt;=YEAR(TODAY())-2020+2,TEXT(MOD(2019+ROWS($A$1:A41),100),"00")&amp;"/"&amp;TEXT(MOD(2020+ROWS($A$1:A41),100),"00"),"")</f>
        <v/>
      </c>
    </row>
    <row r="47" spans="3:3">
      <c r="C47" s="27" t="str">
        <f ca="1">IF(ROWS($A$1:A42)&lt;=YEAR(TODAY())-2020+2,TEXT(MOD(2019+ROWS($A$1:A42),100),"00")&amp;"/"&amp;TEXT(MOD(2020+ROWS($A$1:A42),100),"00"),"")</f>
        <v/>
      </c>
    </row>
    <row r="48" spans="3:3">
      <c r="C48" s="27" t="str">
        <f ca="1">IF(ROWS($A$1:A43)&lt;=YEAR(TODAY())-2020+2,TEXT(MOD(2019+ROWS($A$1:A43),100),"00")&amp;"/"&amp;TEXT(MOD(2020+ROWS($A$1:A43),100),"00"),"")</f>
        <v/>
      </c>
    </row>
    <row r="49" spans="3:3">
      <c r="C49" s="27" t="str">
        <f ca="1">IF(ROWS($A$1:A44)&lt;=YEAR(TODAY())-2020+2,TEXT(MOD(2019+ROWS($A$1:A44),100),"00")&amp;"/"&amp;TEXT(MOD(2020+ROWS($A$1:A44),100),"00"),"")</f>
        <v/>
      </c>
    </row>
    <row r="50" spans="3:3">
      <c r="C50" s="27" t="str">
        <f ca="1">IF(ROWS($A$1:A45)&lt;=YEAR(TODAY())-2020+2,TEXT(MOD(2019+ROWS($A$1:A45),100),"00")&amp;"/"&amp;TEXT(MOD(2020+ROWS($A$1:A45),100),"00"),"")</f>
        <v/>
      </c>
    </row>
    <row r="51" spans="3:3">
      <c r="C51" s="27" t="str">
        <f ca="1">IF(ROWS($A$1:A46)&lt;=YEAR(TODAY())-2020+2,TEXT(MOD(2019+ROWS($A$1:A46),100),"00")&amp;"/"&amp;TEXT(MOD(2020+ROWS($A$1:A46),100),"00"),"")</f>
        <v/>
      </c>
    </row>
    <row r="52" spans="3:3">
      <c r="C52" s="27" t="str">
        <f ca="1">IF(ROWS($A$1:A47)&lt;=YEAR(TODAY())-2020+2,TEXT(MOD(2019+ROWS($A$1:A47),100),"00")&amp;"/"&amp;TEXT(MOD(2020+ROWS($A$1:A47),100),"00"),"")</f>
        <v/>
      </c>
    </row>
    <row r="53" spans="3:3">
      <c r="C53" s="27" t="str">
        <f ca="1">IF(ROWS($A$1:A48)&lt;=YEAR(TODAY())-2020+2,TEXT(MOD(2019+ROWS($A$1:A48),100),"00")&amp;"/"&amp;TEXT(MOD(2020+ROWS($A$1:A48),100),"00"),"")</f>
        <v/>
      </c>
    </row>
    <row r="54" spans="3:3">
      <c r="C54" s="27" t="str">
        <f ca="1">IF(ROWS($A$1:A49)&lt;=YEAR(TODAY())-2020+2,TEXT(MOD(2019+ROWS($A$1:A49),100),"00")&amp;"/"&amp;TEXT(MOD(2020+ROWS($A$1:A49),100),"00"),"")</f>
        <v/>
      </c>
    </row>
    <row r="55" spans="3:3">
      <c r="C55" s="27" t="str">
        <f ca="1">IF(ROWS($A$1:A50)&lt;=YEAR(TODAY())-2020+2,TEXT(MOD(2019+ROWS($A$1:A50),100),"00")&amp;"/"&amp;TEXT(MOD(2020+ROWS($A$1:A50),100),"00"),"")</f>
        <v/>
      </c>
    </row>
    <row r="56" spans="3:3">
      <c r="C56" s="27" t="str">
        <f ca="1">IF(ROWS($A$1:A51)&lt;=YEAR(TODAY())-2020+2,TEXT(MOD(2019+ROWS($A$1:A51),100),"00")&amp;"/"&amp;TEXT(MOD(2020+ROWS($A$1:A51),100),"00"),"")</f>
        <v/>
      </c>
    </row>
    <row r="57" spans="3:3">
      <c r="C57" s="27" t="str">
        <f ca="1">IF(ROWS($A$1:A52)&lt;=YEAR(TODAY())-2020+2,TEXT(MOD(2019+ROWS($A$1:A52),100),"00")&amp;"/"&amp;TEXT(MOD(2020+ROWS($A$1:A52),100),"00"),"")</f>
        <v/>
      </c>
    </row>
    <row r="58" spans="3:3">
      <c r="C58" s="27" t="str">
        <f ca="1">IF(ROWS($A$1:A53)&lt;=YEAR(TODAY())-2020+2,TEXT(MOD(2019+ROWS($A$1:A53),100),"00")&amp;"/"&amp;TEXT(MOD(2020+ROWS($A$1:A53),100),"00"),"")</f>
        <v/>
      </c>
    </row>
    <row r="59" spans="3:3">
      <c r="C59" s="27" t="str">
        <f ca="1">IF(ROWS($A$1:A54)&lt;=YEAR(TODAY())-2020+2,TEXT(MOD(2019+ROWS($A$1:A54),100),"00")&amp;"/"&amp;TEXT(MOD(2020+ROWS($A$1:A54),100),"00"),"")</f>
        <v/>
      </c>
    </row>
    <row r="60" spans="3:3">
      <c r="C60" s="27" t="str">
        <f ca="1">IF(ROWS($A$1:A55)&lt;=YEAR(TODAY())-2020+2,TEXT(MOD(2019+ROWS($A$1:A55),100),"00")&amp;"/"&amp;TEXT(MOD(2020+ROWS($A$1:A55),100),"00"),"")</f>
        <v/>
      </c>
    </row>
    <row r="61" spans="3:3">
      <c r="C61" s="27" t="str">
        <f ca="1">IF(ROWS($A$1:A56)&lt;=YEAR(TODAY())-2020+2,TEXT(MOD(2019+ROWS($A$1:A56),100),"00")&amp;"/"&amp;TEXT(MOD(2020+ROWS($A$1:A56),100),"00"),"")</f>
        <v/>
      </c>
    </row>
    <row r="62" spans="3:3">
      <c r="C62" s="27" t="str">
        <f ca="1">IF(ROWS($A$1:A57)&lt;=YEAR(TODAY())-2020+2,TEXT(MOD(2019+ROWS($A$1:A57),100),"00")&amp;"/"&amp;TEXT(MOD(2020+ROWS($A$1:A57),100),"00"),"")</f>
        <v/>
      </c>
    </row>
    <row r="63" spans="3:3">
      <c r="C63" s="27" t="str">
        <f ca="1">IF(ROWS($A$1:A58)&lt;=YEAR(TODAY())-2020+2,TEXT(MOD(2019+ROWS($A$1:A58),100),"00")&amp;"/"&amp;TEXT(MOD(2020+ROWS($A$1:A58),100),"00"),"")</f>
        <v/>
      </c>
    </row>
    <row r="64" spans="3:3">
      <c r="C64" s="27" t="str">
        <f ca="1">IF(ROWS($A$1:A59)&lt;=YEAR(TODAY())-2020+2,TEXT(MOD(2019+ROWS($A$1:A59),100),"00")&amp;"/"&amp;TEXT(MOD(2020+ROWS($A$1:A59),100),"00"),"")</f>
        <v/>
      </c>
    </row>
    <row r="65" spans="3:3">
      <c r="C65" s="27" t="str">
        <f ca="1">IF(ROWS($A$1:A60)&lt;=YEAR(TODAY())-2020+2,TEXT(MOD(2019+ROWS($A$1:A60),100),"00")&amp;"/"&amp;TEXT(MOD(2020+ROWS($A$1:A60),100),"00"),"")</f>
        <v/>
      </c>
    </row>
    <row r="66" spans="3:3">
      <c r="C66" s="27" t="str">
        <f ca="1">IF(ROWS($A$1:A61)&lt;=YEAR(TODAY())-2020+2,TEXT(MOD(2019+ROWS($A$1:A61),100),"00")&amp;"/"&amp;TEXT(MOD(2020+ROWS($A$1:A61),100),"00"),"")</f>
        <v/>
      </c>
    </row>
    <row r="67" spans="3:3">
      <c r="C67" s="27" t="str">
        <f ca="1">IF(ROWS($A$1:A62)&lt;=YEAR(TODAY())-2020+2,TEXT(MOD(2019+ROWS($A$1:A62),100),"00")&amp;"/"&amp;TEXT(MOD(2020+ROWS($A$1:A62),100),"00"),"")</f>
        <v/>
      </c>
    </row>
    <row r="68" spans="3:3">
      <c r="C68" s="27" t="str">
        <f ca="1">IF(ROWS($A$1:A63)&lt;=YEAR(TODAY())-2020+2,TEXT(MOD(2019+ROWS($A$1:A63),100),"00")&amp;"/"&amp;TEXT(MOD(2020+ROWS($A$1:A63),100),"00"),"")</f>
        <v/>
      </c>
    </row>
    <row r="69" spans="3:3">
      <c r="C69" s="27" t="str">
        <f ca="1">IF(ROWS($A$1:A64)&lt;=YEAR(TODAY())-2020+2,TEXT(MOD(2019+ROWS($A$1:A64),100),"00")&amp;"/"&amp;TEXT(MOD(2020+ROWS($A$1:A64),100),"00"),"")</f>
        <v/>
      </c>
    </row>
    <row r="70" spans="3:3">
      <c r="C70" s="27" t="str">
        <f ca="1">IF(ROWS($A$1:A65)&lt;=YEAR(TODAY())-2020+2,TEXT(MOD(2019+ROWS($A$1:A65),100),"00")&amp;"/"&amp;TEXT(MOD(2020+ROWS($A$1:A65),100),"00"),"")</f>
        <v/>
      </c>
    </row>
    <row r="71" spans="3:3">
      <c r="C71" s="27" t="str">
        <f ca="1">IF(ROWS($A$1:A66)&lt;=YEAR(TODAY())-2020+2,TEXT(MOD(2019+ROWS($A$1:A66),100),"00")&amp;"/"&amp;TEXT(MOD(2020+ROWS($A$1:A66),100),"00"),"")</f>
        <v/>
      </c>
    </row>
    <row r="72" spans="3:3">
      <c r="C72" s="27" t="str">
        <f ca="1">IF(ROWS($A$1:A67)&lt;=YEAR(TODAY())-2020+2,TEXT(MOD(2019+ROWS($A$1:A67),100),"00")&amp;"/"&amp;TEXT(MOD(2020+ROWS($A$1:A67),100),"00"),"")</f>
        <v/>
      </c>
    </row>
    <row r="73" spans="3:3">
      <c r="C73" s="27" t="str">
        <f ca="1">IF(ROWS($A$1:A68)&lt;=YEAR(TODAY())-2020+2,TEXT(MOD(2019+ROWS($A$1:A68),100),"00")&amp;"/"&amp;TEXT(MOD(2020+ROWS($A$1:A68),100),"00"),"")</f>
        <v/>
      </c>
    </row>
    <row r="74" spans="3:3">
      <c r="C74" s="27" t="str">
        <f ca="1">IF(ROWS($A$1:A69)&lt;=YEAR(TODAY())-2020+2,TEXT(MOD(2019+ROWS($A$1:A69),100),"00")&amp;"/"&amp;TEXT(MOD(2020+ROWS($A$1:A69),100),"00"),"")</f>
        <v/>
      </c>
    </row>
    <row r="75" spans="3:3">
      <c r="C75" s="27" t="str">
        <f ca="1">IF(ROWS($A$1:A70)&lt;=YEAR(TODAY())-2020+2,TEXT(MOD(2019+ROWS($A$1:A70),100),"00")&amp;"/"&amp;TEXT(MOD(2020+ROWS($A$1:A70),100),"00"),"")</f>
        <v/>
      </c>
    </row>
    <row r="76" spans="3:3">
      <c r="C76" s="27" t="str">
        <f ca="1">IF(ROWS($A$1:A71)&lt;=YEAR(TODAY())-2020+2,TEXT(MOD(2019+ROWS($A$1:A71),100),"00")&amp;"/"&amp;TEXT(MOD(2020+ROWS($A$1:A71),100),"00"),"")</f>
        <v/>
      </c>
    </row>
    <row r="77" spans="3:3">
      <c r="C77" s="27" t="str">
        <f ca="1">IF(ROWS($A$1:A72)&lt;=YEAR(TODAY())-2020+2,TEXT(MOD(2019+ROWS($A$1:A72),100),"00")&amp;"/"&amp;TEXT(MOD(2020+ROWS($A$1:A72),100),"00"),"")</f>
        <v/>
      </c>
    </row>
    <row r="78" spans="3:3">
      <c r="C78" s="27" t="str">
        <f ca="1">IF(ROWS($A$1:A73)&lt;=YEAR(TODAY())-2020+2,TEXT(MOD(2019+ROWS($A$1:A73),100),"00")&amp;"/"&amp;TEXT(MOD(2020+ROWS($A$1:A73),100),"00"),"")</f>
        <v/>
      </c>
    </row>
    <row r="79" spans="3:3">
      <c r="C79" s="27" t="str">
        <f ca="1">IF(ROWS($A$1:A74)&lt;=YEAR(TODAY())-2020+2,TEXT(MOD(2019+ROWS($A$1:A74),100),"00")&amp;"/"&amp;TEXT(MOD(2020+ROWS($A$1:A74),100),"00"),"")</f>
        <v/>
      </c>
    </row>
    <row r="80" spans="3:3">
      <c r="C80" s="27" t="str">
        <f ca="1">IF(ROWS($A$1:A75)&lt;=YEAR(TODAY())-2020+2,TEXT(MOD(2019+ROWS($A$1:A75),100),"00")&amp;"/"&amp;TEXT(MOD(2020+ROWS($A$1:A75),100),"00"),"")</f>
        <v/>
      </c>
    </row>
    <row r="81" spans="3:3">
      <c r="C81" s="27" t="str">
        <f ca="1">IF(ROWS($A$1:A76)&lt;=YEAR(TODAY())-2020+2,TEXT(MOD(2019+ROWS($A$1:A76),100),"00")&amp;"/"&amp;TEXT(MOD(2020+ROWS($A$1:A76),100),"00"),"")</f>
        <v/>
      </c>
    </row>
    <row r="82" spans="3:3">
      <c r="C82" s="27" t="str">
        <f ca="1">IF(ROWS($A$1:A77)&lt;=YEAR(TODAY())-2020+2,TEXT(MOD(2019+ROWS($A$1:A77),100),"00")&amp;"/"&amp;TEXT(MOD(2020+ROWS($A$1:A77),100),"00"),"")</f>
        <v/>
      </c>
    </row>
    <row r="83" spans="3:3">
      <c r="C83" s="27" t="str">
        <f ca="1">IF(ROWS($A$1:A78)&lt;=YEAR(TODAY())-2020+2,TEXT(MOD(2019+ROWS($A$1:A78),100),"00")&amp;"/"&amp;TEXT(MOD(2020+ROWS($A$1:A78),100),"00"),"")</f>
        <v/>
      </c>
    </row>
    <row r="84" spans="3:3">
      <c r="C84" s="27" t="str">
        <f ca="1">IF(ROWS($A$1:A79)&lt;=YEAR(TODAY())-2020+2,TEXT(MOD(2019+ROWS($A$1:A79),100),"00")&amp;"/"&amp;TEXT(MOD(2020+ROWS($A$1:A79),100),"00"),"")</f>
        <v/>
      </c>
    </row>
    <row r="85" spans="3:3">
      <c r="C85" s="27" t="str">
        <f ca="1">IF(ROWS($A$1:A80)&lt;=YEAR(TODAY())-2020+2,TEXT(MOD(2019+ROWS($A$1:A80),100),"00")&amp;"/"&amp;TEXT(MOD(2020+ROWS($A$1:A80),100),"00"),"")</f>
        <v/>
      </c>
    </row>
    <row r="86" spans="3:3">
      <c r="C86" s="27" t="str">
        <f ca="1">IF(ROWS($A$1:A81)&lt;=YEAR(TODAY())-2020+2,TEXT(MOD(2019+ROWS($A$1:A81),100),"00")&amp;"/"&amp;TEXT(MOD(2020+ROWS($A$1:A81),100),"00"),"")</f>
        <v/>
      </c>
    </row>
    <row r="87" spans="3:3">
      <c r="C87" s="27" t="str">
        <f ca="1">IF(ROWS($A$1:A82)&lt;=YEAR(TODAY())-2020+2,TEXT(MOD(2019+ROWS($A$1:A82),100),"00")&amp;"/"&amp;TEXT(MOD(2020+ROWS($A$1:A82),100),"00"),"")</f>
        <v/>
      </c>
    </row>
    <row r="88" spans="3:3">
      <c r="C88" s="27" t="str">
        <f ca="1">IF(ROWS($A$1:A83)&lt;=YEAR(TODAY())-2020+2,TEXT(MOD(2019+ROWS($A$1:A83),100),"00")&amp;"/"&amp;TEXT(MOD(2020+ROWS($A$1:A83),100),"00"),"")</f>
        <v/>
      </c>
    </row>
    <row r="89" spans="3:3">
      <c r="C89" s="27" t="str">
        <f ca="1">IF(ROWS($A$1:A84)&lt;=YEAR(TODAY())-2020+2,TEXT(MOD(2019+ROWS($A$1:A84),100),"00")&amp;"/"&amp;TEXT(MOD(2020+ROWS($A$1:A84),100),"00"),"")</f>
        <v/>
      </c>
    </row>
    <row r="90" spans="3:3">
      <c r="C90" s="27" t="str">
        <f ca="1">IF(ROWS($A$1:A85)&lt;=YEAR(TODAY())-2020+2,TEXT(MOD(2019+ROWS($A$1:A85),100),"00")&amp;"/"&amp;TEXT(MOD(2020+ROWS($A$1:A85),100),"00"),"")</f>
        <v/>
      </c>
    </row>
    <row r="91" spans="3:3">
      <c r="C91" s="27" t="str">
        <f ca="1">IF(ROWS($A$1:A86)&lt;=YEAR(TODAY())-2020+2,TEXT(MOD(2019+ROWS($A$1:A86),100),"00")&amp;"/"&amp;TEXT(MOD(2020+ROWS($A$1:A86),100),"00"),"")</f>
        <v/>
      </c>
    </row>
    <row r="92" spans="3:3">
      <c r="C92" s="27" t="str">
        <f ca="1">IF(ROWS($A$1:A87)&lt;=YEAR(TODAY())-2020+2,TEXT(MOD(2019+ROWS($A$1:A87),100),"00")&amp;"/"&amp;TEXT(MOD(2020+ROWS($A$1:A87),100),"00"),"")</f>
        <v/>
      </c>
    </row>
    <row r="93" spans="3:3">
      <c r="C93" s="27" t="str">
        <f ca="1">IF(ROWS($A$1:A88)&lt;=YEAR(TODAY())-2020+2,TEXT(MOD(2019+ROWS($A$1:A88),100),"00")&amp;"/"&amp;TEXT(MOD(2020+ROWS($A$1:A88),100),"00"),"")</f>
        <v/>
      </c>
    </row>
    <row r="94" spans="3:3">
      <c r="C94" s="27" t="str">
        <f ca="1">IF(ROWS($A$1:A89)&lt;=YEAR(TODAY())-2020+2,TEXT(MOD(2019+ROWS($A$1:A89),100),"00")&amp;"/"&amp;TEXT(MOD(2020+ROWS($A$1:A89),100),"00"),"")</f>
        <v/>
      </c>
    </row>
    <row r="95" spans="3:3">
      <c r="C95" s="27" t="str">
        <f ca="1">IF(ROWS($A$1:A90)&lt;=YEAR(TODAY())-2020+2,TEXT(MOD(2019+ROWS($A$1:A90),100),"00")&amp;"/"&amp;TEXT(MOD(2020+ROWS($A$1:A90),100),"00"),"")</f>
        <v/>
      </c>
    </row>
    <row r="96" spans="3:3">
      <c r="C96" s="27" t="str">
        <f ca="1">IF(ROWS($A$1:A91)&lt;=YEAR(TODAY())-2020+2,TEXT(MOD(2019+ROWS($A$1:A91),100),"00")&amp;"/"&amp;TEXT(MOD(2020+ROWS($A$1:A91),100),"00"),"")</f>
        <v/>
      </c>
    </row>
    <row r="97" spans="3:3">
      <c r="C97" s="27" t="str">
        <f ca="1">IF(ROWS($A$1:A92)&lt;=YEAR(TODAY())-2020+2,TEXT(MOD(2019+ROWS($A$1:A92),100),"00")&amp;"/"&amp;TEXT(MOD(2020+ROWS($A$1:A92),100),"00"),"")</f>
        <v/>
      </c>
    </row>
    <row r="98" spans="3:3">
      <c r="C98" s="27" t="str">
        <f ca="1">IF(ROWS($A$1:A93)&lt;=YEAR(TODAY())-2020+2,TEXT(MOD(2019+ROWS($A$1:A93),100),"00")&amp;"/"&amp;TEXT(MOD(2020+ROWS($A$1:A93),100),"00"),"")</f>
        <v/>
      </c>
    </row>
    <row r="99" spans="3:3">
      <c r="C99" s="27" t="str">
        <f ca="1">IF(ROWS($A$1:A94)&lt;=YEAR(TODAY())-2020+2,TEXT(MOD(2019+ROWS($A$1:A94),100),"00")&amp;"/"&amp;TEXT(MOD(2020+ROWS($A$1:A94),100),"00"),"")</f>
        <v/>
      </c>
    </row>
    <row r="100" spans="3:3">
      <c r="C100" s="28" t="str">
        <f ca="1">IF(ROWS($A$1:A95)&lt;=YEAR(TODAY())-2020+2,TEXT(MOD(2019+ROWS($A$1:A95),100),"00")&amp;"/"&amp;TEXT(MOD(2020+ROWS($A$1:A95),100),"00"),"")</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6:F15"/>
  <sheetViews>
    <sheetView showGridLines="0" workbookViewId="0">
      <selection activeCell="A10" sqref="A10"/>
    </sheetView>
  </sheetViews>
  <sheetFormatPr defaultColWidth="8.75" defaultRowHeight="15"/>
  <cols>
    <col min="1" max="1" width="28" style="1" customWidth="1"/>
    <col min="2" max="4" width="28" style="8" customWidth="1"/>
    <col min="5" max="5" width="42" style="1" customWidth="1"/>
    <col min="6" max="16384" width="8.75" style="1"/>
  </cols>
  <sheetData>
    <row r="6" spans="1:6" ht="15" customHeight="1">
      <c r="A6" s="8" t="s">
        <v>45</v>
      </c>
      <c r="B6" s="8" t="s">
        <v>10</v>
      </c>
      <c r="C6" s="8" t="s">
        <v>11</v>
      </c>
      <c r="D6" s="8" t="s">
        <v>12</v>
      </c>
      <c r="E6" s="1" t="s">
        <v>130</v>
      </c>
      <c r="F6" s="1" t="s">
        <v>36</v>
      </c>
    </row>
    <row r="7" spans="1:6" ht="15" customHeight="1">
      <c r="A7" s="8"/>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sheetData>
  <dataValidations count="3">
    <dataValidation type="list" allowBlank="1" showInputMessage="1" showErrorMessage="1" errorTitle="Invalid Mapping entry" error="Select a permitted value from the list." sqref="E7" xr:uid="{ACB6601A-3A19-46A5-AF89-C8652414ABFC}">
      <formula1>"Finance Generated Cost,Operational Cost,Reversing Finance Generated Cost,Reversing Operational Cost,Unknown - JournalSource Classification"</formula1>
    </dataValidation>
    <dataValidation type="custom" allowBlank="1" showInputMessage="1" showErrorMessage="1" errorTitle="Invalid Mapping entry" error="Enter both PO Number and PO Line, or leave both blank. PO Number is stored as text and is not forced to seven characters." sqref="C7" xr:uid="{B720B2B4-AE17-4C4F-98F8-FDB449D744E9}">
      <formula1>OR(AND(C7="",D7=""),AND(C7&lt;&gt;"",D7&lt;&gt;""))</formula1>
    </dataValidation>
    <dataValidation type="custom" allowBlank="1" showInputMessage="1" showErrorMessage="1" errorTitle="Invalid Mapping entry" error="Enter both PO Number and PO Line, or leave both blank. PO Line is stored as text and may contain sub-lines such as 2.1." sqref="D7" xr:uid="{B365E239-A48D-4489-8122-C4EDDE9CD7CB}">
      <formula1>OR(AND(C7="",D7=""),AND(C7&lt;&gt;"",D7&lt;&gt;""))</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6:W7"/>
  <sheetViews>
    <sheetView workbookViewId="0">
      <selection activeCell="C7" sqref="C7"/>
    </sheetView>
  </sheetViews>
  <sheetFormatPr defaultRowHeight="14.25"/>
  <cols>
    <col min="1" max="1" width="8" customWidth="1"/>
    <col min="2" max="2" width="13.25" customWidth="1"/>
    <col min="3" max="3" width="15.25" customWidth="1"/>
    <col min="4" max="4" width="10.75" customWidth="1"/>
    <col min="5" max="5" width="9.625" customWidth="1"/>
    <col min="6" max="6" width="15.125" customWidth="1"/>
    <col min="7" max="7" width="8" customWidth="1"/>
    <col min="9" max="9" width="13" customWidth="1"/>
    <col min="10" max="10" width="17.375" customWidth="1"/>
    <col min="11" max="11" width="16.75" customWidth="1"/>
    <col min="12" max="12" width="14.5" customWidth="1"/>
    <col min="13" max="13" width="18.625" customWidth="1"/>
    <col min="14" max="14" width="11.5" customWidth="1"/>
    <col min="15" max="15" width="23" customWidth="1"/>
    <col min="16" max="16" width="17.25" customWidth="1"/>
    <col min="17" max="17" width="8.25" customWidth="1"/>
    <col min="18" max="18" width="7" customWidth="1"/>
    <col min="19" max="19" width="7.875" customWidth="1"/>
    <col min="20" max="20" width="12.875" customWidth="1"/>
    <col min="21" max="21" width="25.125" customWidth="1"/>
    <col min="22" max="22" width="18.75" customWidth="1"/>
    <col min="23" max="23" width="17.875" customWidth="1"/>
  </cols>
  <sheetData>
    <row r="6" spans="1:23" ht="15">
      <c r="A6" s="5" t="s">
        <v>46</v>
      </c>
      <c r="B6" s="5" t="s">
        <v>47</v>
      </c>
      <c r="C6" t="s">
        <v>3</v>
      </c>
      <c r="D6" s="5" t="s">
        <v>48</v>
      </c>
      <c r="E6" s="5" t="s">
        <v>49</v>
      </c>
      <c r="F6" s="5" t="s">
        <v>50</v>
      </c>
      <c r="G6" s="5" t="s">
        <v>51</v>
      </c>
      <c r="H6" t="s">
        <v>52</v>
      </c>
      <c r="I6" s="14" t="s">
        <v>11</v>
      </c>
      <c r="J6" s="14" t="s">
        <v>53</v>
      </c>
      <c r="K6" s="3" t="s">
        <v>54</v>
      </c>
      <c r="L6" s="3" t="s">
        <v>55</v>
      </c>
      <c r="M6" s="3" t="s">
        <v>56</v>
      </c>
      <c r="N6" s="3" t="s">
        <v>2</v>
      </c>
      <c r="O6" s="3" t="s">
        <v>57</v>
      </c>
      <c r="P6" s="3" t="s">
        <v>58</v>
      </c>
      <c r="Q6" s="3" t="s">
        <v>59</v>
      </c>
      <c r="R6" s="3" t="s">
        <v>60</v>
      </c>
      <c r="S6" s="3" t="s">
        <v>61</v>
      </c>
      <c r="T6" s="4" t="s">
        <v>62</v>
      </c>
      <c r="U6" s="4" t="s">
        <v>63</v>
      </c>
      <c r="V6" s="4" t="s">
        <v>64</v>
      </c>
      <c r="W6" s="4" t="s">
        <v>65</v>
      </c>
    </row>
    <row r="7" spans="1:23">
      <c r="A7" s="5"/>
      <c r="B7" s="5"/>
      <c r="C7" s="5"/>
      <c r="D7" s="5"/>
      <c r="E7" s="5"/>
      <c r="F7" s="5"/>
      <c r="G7" s="5"/>
      <c r="H7" s="5"/>
      <c r="I7" s="6"/>
      <c r="J7" s="6"/>
      <c r="K7" s="6"/>
      <c r="L7" s="6"/>
      <c r="M7" s="6"/>
      <c r="N7" s="6"/>
      <c r="O7" s="6"/>
      <c r="P7" s="6"/>
      <c r="Q7" s="6"/>
      <c r="R7" s="6"/>
      <c r="S7" s="7"/>
      <c r="T7" s="7"/>
      <c r="U7" s="7"/>
      <c r="V7" s="7"/>
      <c r="W7" s="7"/>
    </row>
  </sheetData>
  <dataValidations count="10">
    <dataValidation type="custom" allowBlank="1" showInputMessage="1" showErrorMessage="1" errorTitle="Invalid Mapping entry" error="Enter either a blank or exactly 3 digits." sqref="A7 F7:G7" xr:uid="{ADBD2363-7079-446D-A187-CB08EC4B06F4}">
      <formula1>OR(A7="",AND(LEN(A7)=3,ISNUMBER(--A7)))</formula1>
    </dataValidation>
    <dataValidation type="custom" allowBlank="1" showInputMessage="1" showErrorMessage="1" errorTitle="Invalid Mapping entry" error="Enter either a blank or exactly 6 digits." sqref="B7 D7" xr:uid="{CDF87A10-3217-4457-B8B4-2AF6007AF966}">
      <formula1>OR(B7="",AND(LEN(B7)=6,ISNUMBER(--B7)))</formula1>
    </dataValidation>
    <dataValidation type="custom" allowBlank="1" showInputMessage="1" showErrorMessage="1" errorTitle="Invalid Mapping entry" error="Enter either a blank or exactly 8 digits." sqref="C7 E7" xr:uid="{A43D9C2A-E7A3-4905-ACD4-5223187C91B8}">
      <formula1>OR(C7="",AND(LEN(C7)=8,ISNUMBER(--C7)))</formula1>
    </dataValidation>
    <dataValidation type="custom" allowBlank="1" showInputMessage="1" showErrorMessage="1" errorTitle="Invalid Mapping entry" error="Enter both PO Number and PO Line, or leave both blank. PO Number is stored as text and is not forced to seven characters." sqref="I7" xr:uid="{029CFAF1-BDE9-448E-8A6A-DEFFDD0A5EBF}">
      <formula1>OR(AND(I7="",J7=""),AND(I7&lt;&gt;"",J7&lt;&gt;""))</formula1>
    </dataValidation>
    <dataValidation type="custom" allowBlank="1" showInputMessage="1" showErrorMessage="1" errorTitle="Invalid Mapping entry" error="Enter both PO Number and PO Line, or leave both blank. PO Line is stored as text and may contain sub-lines such as 2.1." sqref="J7" xr:uid="{83FE5A5F-2200-4A0B-9160-E6C7247C2CBC}">
      <formula1>OR(AND(I7="",J7=""),AND(I7&lt;&gt;"",J7&lt;&gt;""))</formula1>
    </dataValidation>
    <dataValidation type="custom" allowBlank="1" showInputMessage="1" showErrorMessage="1" errorTitle="Invalid Mapping entry" error="Task Number must use XX.XX, for example 02.01." sqref="L7" xr:uid="{67719AA8-2D89-4F52-A351-575DAAD04DAB}">
      <formula1>OR(L7="",AND(LEN(L7)=5,MID(L7,3,1)=".",ISNUMBER(--LEFT(L7,2)),ISNUMBER(--RIGHT(L7,2))))</formula1>
    </dataValidation>
    <dataValidation type="list" allowBlank="1" showInputMessage="1" showErrorMessage="1" errorTitle="Invalid Mapping entry" error="Select a permitted value from the list." sqref="H7" xr:uid="{95DE49D7-323F-4E03-AA39-6B0F2CF3ED53}">
      <formula1>"DTR,PBCS,Project,PO,Commentary"</formula1>
    </dataValidation>
    <dataValidation type="list" allowBlank="1" showInputMessage="1" showErrorMessage="1" errorTitle="Invalid Mapping entry" error="Select a permitted value from the list." sqref="Q7" xr:uid="{180B6EE6-6F3F-4E66-9BD9-02D21707CDC4}">
      <formula1>"Apr,May,Jun,Jul,Aug,Sep,Oct,Nov,Dec,Jan,Feb,Mar,ADJ,PYA"</formula1>
    </dataValidation>
    <dataValidation type="whole" allowBlank="1" showInputMessage="1" showErrorMessage="1" errorTitle="Invalid Mapping entry" error="Enter a whole number from 0 to 99." sqref="R7" xr:uid="{A4F63ED3-C999-4880-B93A-9262629F81C7}">
      <formula1>0</formula1>
      <formula2>99</formula2>
    </dataValidation>
    <dataValidation type="custom" allowBlank="1" showInputMessage="1" showErrorMessage="1" errorTitle="Invalid Mapping entry" error="Enter a numeric value or leave the cell blank." sqref="S7:W7" xr:uid="{0CCA604E-5F07-4E66-95A9-FE1F731754C4}">
      <formula1>OR(S7="",ISNUMBER(S7))</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6E5AA0"/>
    <pageSetUpPr fitToPage="1"/>
  </sheetPr>
  <dimension ref="A1:K95"/>
  <sheetViews>
    <sheetView showGridLines="0" tabSelected="1" zoomScale="85" zoomScaleNormal="85" workbookViewId="0">
      <pane ySplit="9" topLeftCell="A10" activePane="bottomLeft" state="frozenSplit"/>
      <selection pane="bottomLeft" sqref="A1:K1"/>
    </sheetView>
  </sheetViews>
  <sheetFormatPr defaultColWidth="8.75" defaultRowHeight="13.5"/>
  <cols>
    <col min="1" max="1" width="38.625" style="11" customWidth="1"/>
    <col min="2" max="2" width="39.625" style="11" customWidth="1"/>
    <col min="3" max="3" width="54.625" style="11" customWidth="1"/>
    <col min="4" max="4" width="58.625" style="11" customWidth="1"/>
    <col min="5" max="7" width="3.625" style="11" customWidth="1"/>
    <col min="8" max="8" width="72.625" style="11" customWidth="1"/>
    <col min="9" max="10" width="17.625" style="11" customWidth="1"/>
    <col min="11" max="11" width="3.625" style="11" customWidth="1"/>
    <col min="12" max="16384" width="8.75" style="11"/>
  </cols>
  <sheetData>
    <row r="1" spans="1:11" ht="27.95" customHeight="1">
      <c r="A1" s="58" t="s">
        <v>551</v>
      </c>
      <c r="B1" s="59"/>
      <c r="C1" s="59"/>
      <c r="D1" s="59"/>
      <c r="E1" s="59"/>
      <c r="F1" s="59"/>
      <c r="G1" s="59"/>
      <c r="H1" s="59"/>
      <c r="I1" s="59"/>
      <c r="J1" s="59"/>
      <c r="K1" s="60"/>
    </row>
    <row r="2" spans="1:11" ht="42" customHeight="1">
      <c r="A2" s="22"/>
      <c r="B2" s="22"/>
      <c r="C2" s="22"/>
      <c r="D2" s="22"/>
      <c r="E2"/>
      <c r="F2"/>
      <c r="G2"/>
      <c r="H2"/>
      <c r="I2"/>
      <c r="J2"/>
      <c r="K2"/>
    </row>
    <row r="3" spans="1:11" ht="42" customHeight="1">
      <c r="A3" s="22"/>
      <c r="B3" s="22"/>
      <c r="C3" s="22"/>
      <c r="D3" s="22"/>
      <c r="E3"/>
      <c r="F3"/>
      <c r="G3"/>
      <c r="H3"/>
      <c r="I3"/>
      <c r="J3"/>
      <c r="K3"/>
    </row>
    <row r="4" spans="1:11" ht="42" customHeight="1">
      <c r="A4" s="22"/>
      <c r="B4" s="22"/>
      <c r="C4" s="22"/>
      <c r="D4" s="22"/>
      <c r="E4"/>
      <c r="F4"/>
      <c r="G4"/>
      <c r="H4"/>
      <c r="I4"/>
      <c r="J4"/>
      <c r="K4"/>
    </row>
    <row r="5" spans="1:11" ht="42" customHeight="1">
      <c r="A5" s="22"/>
      <c r="B5" s="22"/>
      <c r="C5" s="22"/>
      <c r="D5" s="22"/>
      <c r="E5"/>
      <c r="F5"/>
      <c r="G5"/>
      <c r="H5"/>
      <c r="I5"/>
      <c r="J5"/>
      <c r="K5"/>
    </row>
    <row r="6" spans="1:11" ht="36" customHeight="1">
      <c r="A6" s="56" t="s">
        <v>180</v>
      </c>
      <c r="B6" s="56"/>
      <c r="C6" s="61" t="s">
        <v>552</v>
      </c>
      <c r="D6" s="61"/>
      <c r="E6"/>
      <c r="F6"/>
      <c r="G6"/>
      <c r="H6" s="62" t="s">
        <v>550</v>
      </c>
      <c r="I6" s="62"/>
      <c r="J6" s="62"/>
      <c r="K6"/>
    </row>
    <row r="7" spans="1:11" ht="32.1" customHeight="1">
      <c r="A7" s="21" t="s">
        <v>69</v>
      </c>
      <c r="B7" s="21" t="s">
        <v>61</v>
      </c>
      <c r="C7" s="21" t="s">
        <v>181</v>
      </c>
      <c r="D7" s="21" t="s">
        <v>182</v>
      </c>
      <c r="E7"/>
      <c r="F7"/>
      <c r="G7"/>
      <c r="H7" s="63" t="s">
        <v>553</v>
      </c>
      <c r="I7" s="63"/>
      <c r="J7" s="63"/>
      <c r="K7"/>
    </row>
    <row r="8" spans="1:11" ht="44.1" customHeight="1">
      <c r="A8" s="16" t="s">
        <v>70</v>
      </c>
      <c r="B8" s="30" t="s">
        <v>342</v>
      </c>
      <c r="C8" s="18" t="s">
        <v>183</v>
      </c>
      <c r="D8" s="18" t="s">
        <v>184</v>
      </c>
      <c r="E8"/>
      <c r="F8"/>
      <c r="G8"/>
      <c r="H8" s="63"/>
      <c r="I8" s="63"/>
      <c r="J8" s="63"/>
      <c r="K8"/>
    </row>
    <row r="9" spans="1:11" ht="44.1" customHeight="1">
      <c r="A9" s="16" t="s">
        <v>75</v>
      </c>
      <c r="B9" s="19">
        <v>6</v>
      </c>
      <c r="C9" s="18" t="s">
        <v>185</v>
      </c>
      <c r="D9" s="18" t="s">
        <v>186</v>
      </c>
      <c r="E9"/>
      <c r="F9"/>
      <c r="G9"/>
      <c r="H9" s="31"/>
      <c r="I9" s="31"/>
      <c r="J9" s="31"/>
      <c r="K9"/>
    </row>
    <row r="10" spans="1:11" ht="44.1" customHeight="1">
      <c r="A10" s="16" t="s">
        <v>78</v>
      </c>
      <c r="B10" s="19">
        <v>7</v>
      </c>
      <c r="C10" s="18" t="s">
        <v>187</v>
      </c>
      <c r="D10" s="18" t="s">
        <v>188</v>
      </c>
      <c r="E10"/>
      <c r="F10"/>
      <c r="G10"/>
      <c r="H10" s="31" t="s">
        <v>343</v>
      </c>
      <c r="I10" s="31" t="s">
        <v>344</v>
      </c>
      <c r="J10" s="31" t="s">
        <v>345</v>
      </c>
      <c r="K10"/>
    </row>
    <row r="11" spans="1:11" ht="44.1" customHeight="1">
      <c r="A11" s="16" t="s">
        <v>80</v>
      </c>
      <c r="B11" s="17" t="s">
        <v>81</v>
      </c>
      <c r="C11" s="18" t="s">
        <v>189</v>
      </c>
      <c r="D11" s="18" t="s">
        <v>190</v>
      </c>
      <c r="E11"/>
      <c r="F11"/>
      <c r="G11"/>
      <c r="H11" s="31" t="s">
        <v>72</v>
      </c>
      <c r="I11" s="33">
        <v>1</v>
      </c>
      <c r="J11" s="32">
        <f t="shared" ref="J11:J42" si="0">1+I11</f>
        <v>2</v>
      </c>
      <c r="K11"/>
    </row>
    <row r="12" spans="1:11" ht="44.1" customHeight="1">
      <c r="A12" s="16" t="s">
        <v>83</v>
      </c>
      <c r="B12" s="17" t="s">
        <v>81</v>
      </c>
      <c r="C12" s="18" t="s">
        <v>191</v>
      </c>
      <c r="D12" s="18" t="s">
        <v>190</v>
      </c>
      <c r="E12"/>
      <c r="F12"/>
      <c r="G12"/>
      <c r="H12" s="31" t="s">
        <v>346</v>
      </c>
      <c r="I12" s="33">
        <v>1</v>
      </c>
      <c r="J12" s="32">
        <f t="shared" si="0"/>
        <v>2</v>
      </c>
      <c r="K12"/>
    </row>
    <row r="13" spans="1:11" ht="44.1" customHeight="1">
      <c r="A13" s="16" t="s">
        <v>86</v>
      </c>
      <c r="B13" s="17" t="s">
        <v>87</v>
      </c>
      <c r="C13" s="18" t="s">
        <v>192</v>
      </c>
      <c r="D13" s="18" t="s">
        <v>193</v>
      </c>
      <c r="E13"/>
      <c r="F13"/>
      <c r="G13"/>
      <c r="H13" s="31" t="s">
        <v>347</v>
      </c>
      <c r="I13" s="33">
        <v>1</v>
      </c>
      <c r="J13" s="32">
        <f t="shared" si="0"/>
        <v>2</v>
      </c>
      <c r="K13"/>
    </row>
    <row r="14" spans="1:11" ht="44.1" customHeight="1">
      <c r="A14" s="16" t="s">
        <v>153</v>
      </c>
      <c r="B14" s="17" t="s">
        <v>81</v>
      </c>
      <c r="C14" s="18" t="s">
        <v>194</v>
      </c>
      <c r="D14" s="18" t="s">
        <v>190</v>
      </c>
      <c r="E14"/>
      <c r="F14"/>
      <c r="G14"/>
      <c r="H14" s="31" t="s">
        <v>348</v>
      </c>
      <c r="I14" s="33">
        <v>1</v>
      </c>
      <c r="J14" s="32">
        <f t="shared" si="0"/>
        <v>2</v>
      </c>
      <c r="K14"/>
    </row>
    <row r="15" spans="1:11" ht="44.1" customHeight="1">
      <c r="A15" s="16" t="s">
        <v>89</v>
      </c>
      <c r="B15" s="19" t="s">
        <v>90</v>
      </c>
      <c r="C15" s="18" t="s">
        <v>195</v>
      </c>
      <c r="D15" s="18" t="s">
        <v>196</v>
      </c>
      <c r="E15"/>
      <c r="F15"/>
      <c r="G15"/>
      <c r="H15" s="31" t="s">
        <v>349</v>
      </c>
      <c r="I15" s="33">
        <v>1</v>
      </c>
      <c r="J15" s="32">
        <f t="shared" si="0"/>
        <v>2</v>
      </c>
      <c r="K15"/>
    </row>
    <row r="16" spans="1:11" ht="44.1" customHeight="1">
      <c r="A16" s="16" t="s">
        <v>92</v>
      </c>
      <c r="B16" s="19" t="s">
        <v>90</v>
      </c>
      <c r="C16" s="18" t="s">
        <v>197</v>
      </c>
      <c r="D16" s="18" t="s">
        <v>196</v>
      </c>
      <c r="E16"/>
      <c r="F16"/>
      <c r="G16"/>
      <c r="H16" s="31" t="s">
        <v>350</v>
      </c>
      <c r="I16" s="33">
        <v>1</v>
      </c>
      <c r="J16" s="32">
        <f t="shared" si="0"/>
        <v>2</v>
      </c>
      <c r="K16"/>
    </row>
    <row r="17" spans="1:11" ht="44.1" customHeight="1">
      <c r="A17" s="16" t="s">
        <v>95</v>
      </c>
      <c r="B17" s="19" t="s">
        <v>81</v>
      </c>
      <c r="C17" s="18" t="s">
        <v>198</v>
      </c>
      <c r="D17" s="18" t="s">
        <v>199</v>
      </c>
      <c r="E17"/>
      <c r="F17"/>
      <c r="G17"/>
      <c r="H17" s="31" t="s">
        <v>351</v>
      </c>
      <c r="I17" s="33">
        <v>1</v>
      </c>
      <c r="J17" s="32">
        <f t="shared" si="0"/>
        <v>2</v>
      </c>
      <c r="K17"/>
    </row>
    <row r="18" spans="1:11" ht="44.1" customHeight="1">
      <c r="A18" s="16" t="s">
        <v>98</v>
      </c>
      <c r="B18" s="19">
        <v>1</v>
      </c>
      <c r="C18" s="18" t="s">
        <v>200</v>
      </c>
      <c r="D18" s="18" t="s">
        <v>201</v>
      </c>
      <c r="E18"/>
      <c r="F18"/>
      <c r="G18"/>
      <c r="H18" s="31" t="s">
        <v>210</v>
      </c>
      <c r="I18" s="33">
        <v>1</v>
      </c>
      <c r="J18" s="32">
        <f t="shared" si="0"/>
        <v>2</v>
      </c>
      <c r="K18"/>
    </row>
    <row r="19" spans="1:11" ht="44.1" customHeight="1">
      <c r="A19" s="16" t="s">
        <v>101</v>
      </c>
      <c r="B19" s="19">
        <v>59</v>
      </c>
      <c r="C19" s="18" t="s">
        <v>202</v>
      </c>
      <c r="D19" s="18" t="s">
        <v>201</v>
      </c>
      <c r="E19"/>
      <c r="F19"/>
      <c r="G19"/>
      <c r="H19" s="31" t="s">
        <v>352</v>
      </c>
      <c r="I19" s="33">
        <v>1</v>
      </c>
      <c r="J19" s="32">
        <f t="shared" si="0"/>
        <v>2</v>
      </c>
      <c r="K19"/>
    </row>
    <row r="20" spans="1:11" ht="44.1" customHeight="1">
      <c r="A20" s="16" t="s">
        <v>104</v>
      </c>
      <c r="B20" s="19" t="s">
        <v>105</v>
      </c>
      <c r="C20" s="18" t="s">
        <v>203</v>
      </c>
      <c r="D20" s="18" t="s">
        <v>201</v>
      </c>
      <c r="E20"/>
      <c r="F20"/>
      <c r="G20"/>
      <c r="H20" s="31" t="s">
        <v>353</v>
      </c>
      <c r="I20" s="33">
        <v>1</v>
      </c>
      <c r="J20" s="32">
        <f t="shared" si="0"/>
        <v>2</v>
      </c>
      <c r="K20"/>
    </row>
    <row r="21" spans="1:11" ht="44.1" customHeight="1">
      <c r="A21" s="22"/>
      <c r="B21" s="22"/>
      <c r="C21" s="22"/>
      <c r="D21" s="22"/>
      <c r="E21"/>
      <c r="F21"/>
      <c r="G21"/>
      <c r="H21" s="31" t="s">
        <v>354</v>
      </c>
      <c r="I21" s="33">
        <v>1</v>
      </c>
      <c r="J21" s="32">
        <f t="shared" si="0"/>
        <v>2</v>
      </c>
      <c r="K21"/>
    </row>
    <row r="22" spans="1:11" ht="36" customHeight="1">
      <c r="A22" s="56" t="s">
        <v>204</v>
      </c>
      <c r="B22" s="56"/>
      <c r="C22" s="57" t="s">
        <v>205</v>
      </c>
      <c r="D22" s="56"/>
      <c r="E22"/>
      <c r="F22"/>
      <c r="G22"/>
      <c r="H22" s="31" t="s">
        <v>330</v>
      </c>
      <c r="I22" s="33">
        <v>1</v>
      </c>
      <c r="J22" s="32">
        <f t="shared" si="0"/>
        <v>2</v>
      </c>
      <c r="K22"/>
    </row>
    <row r="23" spans="1:11" ht="32.1" customHeight="1">
      <c r="A23" s="21" t="s">
        <v>69</v>
      </c>
      <c r="B23" s="21" t="s">
        <v>61</v>
      </c>
      <c r="C23" s="21" t="s">
        <v>181</v>
      </c>
      <c r="D23" s="21" t="s">
        <v>182</v>
      </c>
      <c r="E23"/>
      <c r="F23"/>
      <c r="G23"/>
      <c r="H23" s="31" t="s">
        <v>355</v>
      </c>
      <c r="I23" s="33">
        <v>1</v>
      </c>
      <c r="J23" s="32">
        <f t="shared" si="0"/>
        <v>2</v>
      </c>
      <c r="K23"/>
    </row>
    <row r="24" spans="1:11" ht="42" customHeight="1">
      <c r="A24" s="16" t="s">
        <v>156</v>
      </c>
      <c r="B24" s="20" t="s">
        <v>66</v>
      </c>
      <c r="C24" s="18" t="s">
        <v>206</v>
      </c>
      <c r="D24" s="18" t="s">
        <v>207</v>
      </c>
      <c r="E24"/>
      <c r="F24"/>
      <c r="G24"/>
      <c r="H24" s="31" t="s">
        <v>356</v>
      </c>
      <c r="I24" s="33">
        <v>1</v>
      </c>
      <c r="J24" s="32">
        <f t="shared" si="0"/>
        <v>2</v>
      </c>
      <c r="K24"/>
    </row>
    <row r="25" spans="1:11" ht="42" customHeight="1">
      <c r="A25" s="16" t="s">
        <v>107</v>
      </c>
      <c r="B25" s="20" t="s">
        <v>108</v>
      </c>
      <c r="C25" s="18" t="s">
        <v>208</v>
      </c>
      <c r="D25" s="18" t="s">
        <v>207</v>
      </c>
      <c r="E25"/>
      <c r="F25"/>
      <c r="G25"/>
      <c r="H25" s="31" t="s">
        <v>357</v>
      </c>
      <c r="I25" s="33">
        <v>1</v>
      </c>
      <c r="J25" s="32">
        <f t="shared" si="0"/>
        <v>2</v>
      </c>
      <c r="K25"/>
    </row>
    <row r="26" spans="1:11" ht="42" customHeight="1">
      <c r="A26" s="16" t="s">
        <v>157</v>
      </c>
      <c r="B26" s="20" t="s">
        <v>158</v>
      </c>
      <c r="C26" s="18" t="s">
        <v>206</v>
      </c>
      <c r="D26" s="18" t="s">
        <v>207</v>
      </c>
      <c r="E26"/>
      <c r="F26"/>
      <c r="G26"/>
      <c r="H26" s="31" t="s">
        <v>358</v>
      </c>
      <c r="I26" s="33">
        <v>1</v>
      </c>
      <c r="J26" s="32">
        <f t="shared" si="0"/>
        <v>2</v>
      </c>
      <c r="K26"/>
    </row>
    <row r="27" spans="1:11" ht="42" customHeight="1">
      <c r="A27" s="16" t="s">
        <v>110</v>
      </c>
      <c r="B27" s="20" t="s">
        <v>111</v>
      </c>
      <c r="C27" s="18" t="s">
        <v>208</v>
      </c>
      <c r="D27" s="18" t="s">
        <v>207</v>
      </c>
      <c r="E27"/>
      <c r="F27"/>
      <c r="G27"/>
      <c r="H27" s="31" t="s">
        <v>46</v>
      </c>
      <c r="I27" s="33">
        <v>1</v>
      </c>
      <c r="J27" s="32">
        <f t="shared" si="0"/>
        <v>2</v>
      </c>
      <c r="K27"/>
    </row>
    <row r="28" spans="1:11" ht="42" customHeight="1">
      <c r="A28" s="16" t="s">
        <v>159</v>
      </c>
      <c r="B28" s="20" t="s">
        <v>67</v>
      </c>
      <c r="C28" s="18" t="s">
        <v>206</v>
      </c>
      <c r="D28" s="18" t="s">
        <v>207</v>
      </c>
      <c r="E28"/>
      <c r="F28"/>
      <c r="G28"/>
      <c r="H28" s="31" t="s">
        <v>47</v>
      </c>
      <c r="I28" s="33">
        <v>1</v>
      </c>
      <c r="J28" s="32">
        <f t="shared" si="0"/>
        <v>2</v>
      </c>
      <c r="K28"/>
    </row>
    <row r="29" spans="1:11" ht="42" customHeight="1">
      <c r="A29" s="16" t="s">
        <v>113</v>
      </c>
      <c r="B29" s="20" t="s">
        <v>114</v>
      </c>
      <c r="C29" s="18" t="s">
        <v>208</v>
      </c>
      <c r="D29" s="18" t="s">
        <v>207</v>
      </c>
      <c r="E29"/>
      <c r="F29"/>
      <c r="G29"/>
      <c r="H29" s="31" t="s">
        <v>85</v>
      </c>
      <c r="I29" s="33">
        <v>1</v>
      </c>
      <c r="J29" s="32">
        <f t="shared" si="0"/>
        <v>2</v>
      </c>
      <c r="K29"/>
    </row>
    <row r="30" spans="1:11" ht="42" customHeight="1">
      <c r="A30" s="16" t="s">
        <v>160</v>
      </c>
      <c r="B30" s="20" t="s">
        <v>161</v>
      </c>
      <c r="C30" s="18" t="s">
        <v>206</v>
      </c>
      <c r="D30" s="18" t="s">
        <v>207</v>
      </c>
      <c r="E30"/>
      <c r="F30"/>
      <c r="G30"/>
      <c r="H30" s="31" t="s">
        <v>49</v>
      </c>
      <c r="I30" s="33">
        <v>1</v>
      </c>
      <c r="J30" s="32">
        <f t="shared" si="0"/>
        <v>2</v>
      </c>
      <c r="K30"/>
    </row>
    <row r="31" spans="1:11" ht="42" customHeight="1">
      <c r="A31" s="16" t="s">
        <v>116</v>
      </c>
      <c r="B31" s="20" t="s">
        <v>117</v>
      </c>
      <c r="C31" s="18" t="s">
        <v>208</v>
      </c>
      <c r="D31" s="18" t="s">
        <v>207</v>
      </c>
      <c r="E31"/>
      <c r="F31"/>
      <c r="G31"/>
      <c r="H31" s="31" t="s">
        <v>48</v>
      </c>
      <c r="I31" s="33">
        <v>1</v>
      </c>
      <c r="J31" s="32">
        <f t="shared" si="0"/>
        <v>2</v>
      </c>
      <c r="K31"/>
    </row>
    <row r="32" spans="1:11" ht="42" customHeight="1">
      <c r="A32" s="16" t="s">
        <v>162</v>
      </c>
      <c r="B32" s="20" t="s">
        <v>163</v>
      </c>
      <c r="C32" s="18" t="s">
        <v>206</v>
      </c>
      <c r="D32" s="18" t="s">
        <v>207</v>
      </c>
      <c r="E32"/>
      <c r="F32"/>
      <c r="G32"/>
      <c r="H32" s="31" t="s">
        <v>50</v>
      </c>
      <c r="I32" s="33">
        <v>1</v>
      </c>
      <c r="J32" s="32">
        <f t="shared" si="0"/>
        <v>2</v>
      </c>
      <c r="K32"/>
    </row>
    <row r="33" spans="1:11" ht="42" customHeight="1">
      <c r="A33" s="16" t="s">
        <v>119</v>
      </c>
      <c r="B33" s="20" t="s">
        <v>120</v>
      </c>
      <c r="C33" s="18" t="s">
        <v>208</v>
      </c>
      <c r="D33" s="18" t="s">
        <v>207</v>
      </c>
      <c r="E33"/>
      <c r="F33"/>
      <c r="G33"/>
      <c r="H33" s="31" t="s">
        <v>51</v>
      </c>
      <c r="I33" s="33">
        <v>1</v>
      </c>
      <c r="J33" s="32">
        <f t="shared" si="0"/>
        <v>2</v>
      </c>
      <c r="K33"/>
    </row>
    <row r="34" spans="1:11" ht="42" customHeight="1">
      <c r="A34" s="16" t="s">
        <v>209</v>
      </c>
      <c r="B34" s="20" t="s">
        <v>210</v>
      </c>
      <c r="C34" s="18" t="s">
        <v>206</v>
      </c>
      <c r="D34" s="18" t="s">
        <v>207</v>
      </c>
      <c r="E34"/>
      <c r="F34"/>
      <c r="G34"/>
      <c r="H34" s="31" t="s">
        <v>54</v>
      </c>
      <c r="I34" s="33">
        <v>1</v>
      </c>
      <c r="J34" s="32">
        <f t="shared" si="0"/>
        <v>2</v>
      </c>
      <c r="K34"/>
    </row>
    <row r="35" spans="1:11" ht="42" customHeight="1">
      <c r="A35" s="16" t="s">
        <v>211</v>
      </c>
      <c r="B35" s="20" t="s">
        <v>212</v>
      </c>
      <c r="C35" s="18" t="s">
        <v>208</v>
      </c>
      <c r="D35" s="18" t="s">
        <v>207</v>
      </c>
      <c r="E35"/>
      <c r="F35"/>
      <c r="G35"/>
      <c r="H35" s="31" t="s">
        <v>359</v>
      </c>
      <c r="I35" s="33">
        <v>1</v>
      </c>
      <c r="J35" s="32">
        <f t="shared" si="0"/>
        <v>2</v>
      </c>
      <c r="K35"/>
    </row>
    <row r="36" spans="1:11" ht="42" customHeight="1">
      <c r="A36" s="16" t="s">
        <v>154</v>
      </c>
      <c r="B36" s="20" t="s">
        <v>155</v>
      </c>
      <c r="C36" s="18" t="s">
        <v>206</v>
      </c>
      <c r="D36" s="18" t="s">
        <v>207</v>
      </c>
      <c r="E36"/>
      <c r="F36"/>
      <c r="G36"/>
      <c r="H36" s="31" t="s">
        <v>55</v>
      </c>
      <c r="I36" s="33">
        <v>1</v>
      </c>
      <c r="J36" s="32">
        <f t="shared" si="0"/>
        <v>2</v>
      </c>
      <c r="K36"/>
    </row>
    <row r="37" spans="1:11" ht="42" customHeight="1">
      <c r="A37" s="16" t="s">
        <v>122</v>
      </c>
      <c r="B37" s="20" t="s">
        <v>123</v>
      </c>
      <c r="C37" s="18" t="s">
        <v>208</v>
      </c>
      <c r="D37" s="18" t="s">
        <v>207</v>
      </c>
      <c r="E37"/>
      <c r="F37"/>
      <c r="G37"/>
      <c r="H37" s="31" t="s">
        <v>56</v>
      </c>
      <c r="I37" s="33">
        <v>1</v>
      </c>
      <c r="J37" s="32">
        <f t="shared" si="0"/>
        <v>2</v>
      </c>
      <c r="K37"/>
    </row>
    <row r="38" spans="1:11" ht="42" customHeight="1">
      <c r="A38" s="22"/>
      <c r="B38" s="22"/>
      <c r="C38" s="22"/>
      <c r="D38" s="22"/>
      <c r="E38"/>
      <c r="F38"/>
      <c r="G38"/>
      <c r="H38" s="31" t="s">
        <v>360</v>
      </c>
      <c r="I38" s="33">
        <v>1</v>
      </c>
      <c r="J38" s="32">
        <f t="shared" si="0"/>
        <v>2</v>
      </c>
      <c r="K38"/>
    </row>
    <row r="39" spans="1:11" ht="15" customHeight="1">
      <c r="A39" s="56" t="s">
        <v>213</v>
      </c>
      <c r="B39" s="56"/>
      <c r="C39" s="57" t="s">
        <v>214</v>
      </c>
      <c r="D39" s="56"/>
      <c r="E39"/>
      <c r="F39"/>
      <c r="G39"/>
      <c r="H39" s="31" t="s">
        <v>361</v>
      </c>
      <c r="I39" s="33">
        <v>1</v>
      </c>
      <c r="J39" s="32">
        <f t="shared" si="0"/>
        <v>2</v>
      </c>
      <c r="K39"/>
    </row>
    <row r="40" spans="1:11" ht="30" customHeight="1">
      <c r="A40" s="21" t="s">
        <v>215</v>
      </c>
      <c r="B40" s="21" t="s">
        <v>216</v>
      </c>
      <c r="C40" s="21" t="s">
        <v>217</v>
      </c>
      <c r="D40" s="21" t="s">
        <v>218</v>
      </c>
      <c r="E40"/>
      <c r="F40"/>
      <c r="G40"/>
      <c r="H40" s="31" t="s">
        <v>77</v>
      </c>
      <c r="I40" s="33">
        <v>1</v>
      </c>
      <c r="J40" s="32">
        <f t="shared" si="0"/>
        <v>2</v>
      </c>
      <c r="K40"/>
    </row>
    <row r="41" spans="1:11" ht="48" customHeight="1">
      <c r="A41" s="16" t="s">
        <v>147</v>
      </c>
      <c r="B41" s="16"/>
      <c r="C41" s="18" t="s">
        <v>219</v>
      </c>
      <c r="D41" s="18" t="s">
        <v>220</v>
      </c>
      <c r="E41"/>
      <c r="F41"/>
      <c r="G41"/>
      <c r="H41" s="31" t="s">
        <v>362</v>
      </c>
      <c r="I41" s="33">
        <v>1</v>
      </c>
      <c r="J41" s="32">
        <f t="shared" si="0"/>
        <v>2</v>
      </c>
      <c r="K41"/>
    </row>
    <row r="42" spans="1:11" ht="24" customHeight="1">
      <c r="A42" s="16" t="s">
        <v>148</v>
      </c>
      <c r="B42" s="16"/>
      <c r="C42" s="18" t="s">
        <v>221</v>
      </c>
      <c r="D42" s="18" t="s">
        <v>220</v>
      </c>
      <c r="E42"/>
      <c r="F42"/>
      <c r="G42"/>
      <c r="H42" s="31" t="s">
        <v>363</v>
      </c>
      <c r="I42" s="33">
        <v>1</v>
      </c>
      <c r="J42" s="32">
        <f t="shared" si="0"/>
        <v>2</v>
      </c>
      <c r="K42"/>
    </row>
    <row r="43" spans="1:11" ht="60" customHeight="1">
      <c r="A43" s="16" t="s">
        <v>172</v>
      </c>
      <c r="B43" s="16"/>
      <c r="C43" s="18" t="s">
        <v>222</v>
      </c>
      <c r="D43" s="18" t="s">
        <v>220</v>
      </c>
      <c r="E43"/>
      <c r="F43"/>
      <c r="G43"/>
      <c r="H43" s="31" t="s">
        <v>364</v>
      </c>
      <c r="I43" s="33">
        <v>1</v>
      </c>
      <c r="J43" s="32">
        <f t="shared" ref="J43:J74" si="1">1+I43</f>
        <v>2</v>
      </c>
      <c r="K43"/>
    </row>
    <row r="44" spans="1:11" ht="48" customHeight="1">
      <c r="A44" s="16" t="s">
        <v>173</v>
      </c>
      <c r="B44" s="16"/>
      <c r="C44" s="18" t="s">
        <v>223</v>
      </c>
      <c r="D44" s="18" t="s">
        <v>220</v>
      </c>
      <c r="E44"/>
      <c r="F44"/>
      <c r="G44"/>
      <c r="H44" s="31" t="s">
        <v>365</v>
      </c>
      <c r="I44" s="33">
        <v>1</v>
      </c>
      <c r="J44" s="32">
        <f t="shared" si="1"/>
        <v>2</v>
      </c>
      <c r="K44"/>
    </row>
    <row r="45" spans="1:11" ht="48" customHeight="1">
      <c r="A45" s="16" t="s">
        <v>174</v>
      </c>
      <c r="B45" s="16"/>
      <c r="C45" s="18" t="s">
        <v>224</v>
      </c>
      <c r="D45" s="18" t="s">
        <v>220</v>
      </c>
      <c r="E45"/>
      <c r="F45"/>
      <c r="G45"/>
      <c r="H45" s="31" t="s">
        <v>366</v>
      </c>
      <c r="I45" s="33">
        <v>1</v>
      </c>
      <c r="J45" s="32">
        <f t="shared" si="1"/>
        <v>2</v>
      </c>
      <c r="K45"/>
    </row>
    <row r="46" spans="1:11" ht="60" customHeight="1">
      <c r="A46" s="16" t="s">
        <v>149</v>
      </c>
      <c r="B46" s="16"/>
      <c r="C46" s="18" t="s">
        <v>225</v>
      </c>
      <c r="D46" s="18" t="s">
        <v>220</v>
      </c>
      <c r="E46"/>
      <c r="F46"/>
      <c r="G46"/>
      <c r="H46" s="31" t="s">
        <v>367</v>
      </c>
      <c r="I46" s="33">
        <v>1</v>
      </c>
      <c r="J46" s="32">
        <f t="shared" si="1"/>
        <v>2</v>
      </c>
      <c r="K46"/>
    </row>
    <row r="47" spans="1:11" ht="60" customHeight="1">
      <c r="A47" s="16" t="s">
        <v>175</v>
      </c>
      <c r="B47" s="16"/>
      <c r="C47" s="18" t="s">
        <v>226</v>
      </c>
      <c r="D47" s="18" t="s">
        <v>220</v>
      </c>
      <c r="E47"/>
      <c r="F47"/>
      <c r="G47"/>
      <c r="H47" s="31" t="s">
        <v>368</v>
      </c>
      <c r="I47" s="33">
        <v>1</v>
      </c>
      <c r="J47" s="32">
        <f t="shared" si="1"/>
        <v>2</v>
      </c>
      <c r="K47"/>
    </row>
    <row r="48" spans="1:11" ht="36" customHeight="1">
      <c r="A48" s="16" t="s">
        <v>176</v>
      </c>
      <c r="B48" s="16"/>
      <c r="C48" s="18" t="s">
        <v>227</v>
      </c>
      <c r="D48" s="18" t="s">
        <v>220</v>
      </c>
      <c r="E48"/>
      <c r="F48"/>
      <c r="G48"/>
      <c r="H48" s="31" t="s">
        <v>369</v>
      </c>
      <c r="I48" s="33">
        <v>1</v>
      </c>
      <c r="J48" s="32">
        <f t="shared" si="1"/>
        <v>2</v>
      </c>
      <c r="K48"/>
    </row>
    <row r="49" spans="1:11" ht="36" customHeight="1">
      <c r="A49" s="16" t="s">
        <v>177</v>
      </c>
      <c r="B49" s="16"/>
      <c r="C49" s="18" t="s">
        <v>228</v>
      </c>
      <c r="D49" s="18" t="s">
        <v>220</v>
      </c>
      <c r="E49"/>
      <c r="F49"/>
      <c r="G49"/>
      <c r="H49" s="31" t="s">
        <v>337</v>
      </c>
      <c r="I49" s="33">
        <v>1</v>
      </c>
      <c r="J49" s="32">
        <f t="shared" si="1"/>
        <v>2</v>
      </c>
      <c r="K49"/>
    </row>
    <row r="50" spans="1:11" ht="60" customHeight="1">
      <c r="A50" s="16" t="s">
        <v>178</v>
      </c>
      <c r="B50" s="16"/>
      <c r="C50" s="18" t="s">
        <v>229</v>
      </c>
      <c r="D50" s="18" t="s">
        <v>220</v>
      </c>
      <c r="E50"/>
      <c r="F50"/>
      <c r="G50"/>
      <c r="H50" s="31" t="s">
        <v>370</v>
      </c>
      <c r="I50" s="33">
        <v>1</v>
      </c>
      <c r="J50" s="32">
        <f t="shared" si="1"/>
        <v>2</v>
      </c>
      <c r="K50"/>
    </row>
    <row r="51" spans="1:11" ht="36" customHeight="1">
      <c r="A51" s="16" t="s">
        <v>150</v>
      </c>
      <c r="B51" s="16"/>
      <c r="C51" s="18" t="s">
        <v>230</v>
      </c>
      <c r="D51" s="18" t="s">
        <v>220</v>
      </c>
      <c r="E51"/>
      <c r="F51"/>
      <c r="G51"/>
      <c r="H51" s="31" t="s">
        <v>371</v>
      </c>
      <c r="I51" s="33">
        <v>1</v>
      </c>
      <c r="J51" s="32">
        <f t="shared" si="1"/>
        <v>2</v>
      </c>
      <c r="K51"/>
    </row>
    <row r="52" spans="1:11" ht="48" customHeight="1">
      <c r="A52" s="16" t="s">
        <v>179</v>
      </c>
      <c r="B52" s="16"/>
      <c r="C52" s="18" t="s">
        <v>231</v>
      </c>
      <c r="D52" s="18" t="s">
        <v>220</v>
      </c>
      <c r="E52"/>
      <c r="F52"/>
      <c r="G52"/>
      <c r="H52" s="31" t="s">
        <v>285</v>
      </c>
      <c r="I52" s="33">
        <v>1</v>
      </c>
      <c r="J52" s="32">
        <f t="shared" si="1"/>
        <v>2</v>
      </c>
      <c r="K52"/>
    </row>
    <row r="53" spans="1:11" ht="24" customHeight="1">
      <c r="A53" s="16" t="s">
        <v>151</v>
      </c>
      <c r="B53" s="16"/>
      <c r="C53" s="18" t="s">
        <v>232</v>
      </c>
      <c r="D53" s="18" t="s">
        <v>220</v>
      </c>
      <c r="E53"/>
      <c r="F53"/>
      <c r="G53"/>
      <c r="H53" s="31" t="s">
        <v>2</v>
      </c>
      <c r="I53" s="33">
        <v>1</v>
      </c>
      <c r="J53" s="32">
        <f t="shared" si="1"/>
        <v>2</v>
      </c>
      <c r="K53"/>
    </row>
    <row r="54" spans="1:11" ht="54" customHeight="1">
      <c r="A54"/>
      <c r="B54"/>
      <c r="C54"/>
      <c r="D54"/>
      <c r="E54"/>
      <c r="F54"/>
      <c r="G54"/>
      <c r="H54" s="31" t="s">
        <v>74</v>
      </c>
      <c r="I54" s="33">
        <v>1</v>
      </c>
      <c r="J54" s="32">
        <f t="shared" si="1"/>
        <v>2</v>
      </c>
      <c r="K54"/>
    </row>
    <row r="55" spans="1:11" ht="15" customHeight="1">
      <c r="A55" s="56" t="s">
        <v>68</v>
      </c>
      <c r="B55" s="56"/>
      <c r="C55" s="57" t="s">
        <v>283</v>
      </c>
      <c r="D55" s="56"/>
      <c r="E55"/>
      <c r="F55"/>
      <c r="G55"/>
      <c r="H55" s="31" t="s">
        <v>287</v>
      </c>
      <c r="I55" s="33">
        <v>1</v>
      </c>
      <c r="J55" s="32">
        <f t="shared" si="1"/>
        <v>2</v>
      </c>
      <c r="K55"/>
    </row>
    <row r="56" spans="1:11" ht="30" customHeight="1">
      <c r="A56" s="21" t="s">
        <v>69</v>
      </c>
      <c r="B56" s="21" t="s">
        <v>152</v>
      </c>
      <c r="C56" s="21" t="s">
        <v>181</v>
      </c>
      <c r="D56" s="21" t="s">
        <v>182</v>
      </c>
      <c r="E56"/>
      <c r="F56"/>
      <c r="G56"/>
      <c r="H56" s="31" t="s">
        <v>289</v>
      </c>
      <c r="I56" s="33">
        <v>1</v>
      </c>
      <c r="J56" s="32">
        <f t="shared" si="1"/>
        <v>2</v>
      </c>
      <c r="K56"/>
    </row>
    <row r="57" spans="1:11" ht="72">
      <c r="A57" s="16" t="s">
        <v>71</v>
      </c>
      <c r="B57" s="20" t="s">
        <v>72</v>
      </c>
      <c r="C57" s="18" t="s">
        <v>260</v>
      </c>
      <c r="D57" s="18" t="s">
        <v>261</v>
      </c>
      <c r="E57"/>
      <c r="F57"/>
      <c r="G57"/>
      <c r="H57" s="31" t="s">
        <v>291</v>
      </c>
      <c r="I57" s="33">
        <v>1</v>
      </c>
      <c r="J57" s="32">
        <f t="shared" si="1"/>
        <v>2</v>
      </c>
      <c r="K57"/>
    </row>
    <row r="58" spans="1:11" ht="72">
      <c r="A58" s="16" t="s">
        <v>73</v>
      </c>
      <c r="B58" s="20" t="s">
        <v>74</v>
      </c>
      <c r="C58" s="18" t="s">
        <v>262</v>
      </c>
      <c r="D58" s="18" t="s">
        <v>261</v>
      </c>
      <c r="E58"/>
      <c r="F58"/>
      <c r="G58"/>
      <c r="H58" s="31" t="s">
        <v>293</v>
      </c>
      <c r="I58" s="33">
        <v>1</v>
      </c>
      <c r="J58" s="32">
        <f t="shared" si="1"/>
        <v>2</v>
      </c>
      <c r="K58"/>
    </row>
    <row r="59" spans="1:11" ht="72">
      <c r="A59" s="16" t="s">
        <v>76</v>
      </c>
      <c r="B59" s="20" t="s">
        <v>77</v>
      </c>
      <c r="C59" s="18" t="s">
        <v>263</v>
      </c>
      <c r="D59" s="18" t="s">
        <v>261</v>
      </c>
      <c r="E59"/>
      <c r="F59"/>
      <c r="G59"/>
      <c r="H59" s="31" t="s">
        <v>295</v>
      </c>
      <c r="I59" s="33">
        <v>1</v>
      </c>
      <c r="J59" s="32">
        <f t="shared" si="1"/>
        <v>2</v>
      </c>
      <c r="K59"/>
    </row>
    <row r="60" spans="1:11" ht="60">
      <c r="A60" s="16" t="s">
        <v>79</v>
      </c>
      <c r="B60" s="20" t="s">
        <v>46</v>
      </c>
      <c r="C60" s="18" t="s">
        <v>264</v>
      </c>
      <c r="D60" s="18" t="s">
        <v>261</v>
      </c>
      <c r="E60"/>
      <c r="F60"/>
      <c r="G60"/>
      <c r="H60" s="31" t="s">
        <v>335</v>
      </c>
      <c r="I60" s="33">
        <v>1</v>
      </c>
      <c r="J60" s="32">
        <f t="shared" si="1"/>
        <v>2</v>
      </c>
      <c r="K60"/>
    </row>
    <row r="61" spans="1:11" ht="72">
      <c r="A61" s="16" t="s">
        <v>82</v>
      </c>
      <c r="B61" s="20" t="s">
        <v>47</v>
      </c>
      <c r="C61" s="18" t="s">
        <v>265</v>
      </c>
      <c r="D61" s="18" t="s">
        <v>261</v>
      </c>
      <c r="E61"/>
      <c r="F61"/>
      <c r="G61"/>
      <c r="H61" s="31" t="s">
        <v>297</v>
      </c>
      <c r="I61" s="33">
        <v>1</v>
      </c>
      <c r="J61" s="32">
        <f t="shared" si="1"/>
        <v>2</v>
      </c>
      <c r="K61"/>
    </row>
    <row r="62" spans="1:11" ht="60">
      <c r="A62" s="16" t="s">
        <v>84</v>
      </c>
      <c r="B62" s="20" t="s">
        <v>85</v>
      </c>
      <c r="C62" s="18" t="s">
        <v>266</v>
      </c>
      <c r="D62" s="18" t="s">
        <v>261</v>
      </c>
      <c r="E62"/>
      <c r="F62"/>
      <c r="G62"/>
      <c r="H62" s="31" t="s">
        <v>299</v>
      </c>
      <c r="I62" s="33">
        <v>1</v>
      </c>
      <c r="J62" s="32">
        <f t="shared" si="1"/>
        <v>2</v>
      </c>
      <c r="K62"/>
    </row>
    <row r="63" spans="1:11" ht="60">
      <c r="A63" s="16" t="s">
        <v>88</v>
      </c>
      <c r="B63" s="20" t="s">
        <v>49</v>
      </c>
      <c r="C63" s="18" t="s">
        <v>267</v>
      </c>
      <c r="D63" s="18" t="s">
        <v>261</v>
      </c>
      <c r="E63"/>
      <c r="F63"/>
      <c r="G63"/>
      <c r="H63" s="31" t="s">
        <v>301</v>
      </c>
      <c r="I63" s="33">
        <v>1</v>
      </c>
      <c r="J63" s="32">
        <f t="shared" si="1"/>
        <v>2</v>
      </c>
      <c r="K63"/>
    </row>
    <row r="64" spans="1:11" ht="60">
      <c r="A64" s="16" t="s">
        <v>91</v>
      </c>
      <c r="B64" s="20" t="s">
        <v>48</v>
      </c>
      <c r="C64" s="18" t="s">
        <v>268</v>
      </c>
      <c r="D64" s="18" t="s">
        <v>261</v>
      </c>
      <c r="E64"/>
      <c r="F64"/>
      <c r="G64"/>
      <c r="H64" s="31" t="s">
        <v>303</v>
      </c>
      <c r="I64" s="33">
        <v>1</v>
      </c>
      <c r="J64" s="32">
        <f t="shared" si="1"/>
        <v>2</v>
      </c>
      <c r="K64"/>
    </row>
    <row r="65" spans="1:11" ht="72">
      <c r="A65" s="16" t="s">
        <v>93</v>
      </c>
      <c r="B65" s="20" t="s">
        <v>50</v>
      </c>
      <c r="C65" s="18" t="s">
        <v>269</v>
      </c>
      <c r="D65" s="18" t="s">
        <v>261</v>
      </c>
      <c r="E65"/>
      <c r="F65"/>
      <c r="G65"/>
      <c r="H65" s="31" t="s">
        <v>305</v>
      </c>
      <c r="I65" s="33">
        <v>1</v>
      </c>
      <c r="J65" s="32">
        <f t="shared" si="1"/>
        <v>2</v>
      </c>
      <c r="K65"/>
    </row>
    <row r="66" spans="1:11" ht="60">
      <c r="A66" s="16" t="s">
        <v>94</v>
      </c>
      <c r="B66" s="20" t="s">
        <v>51</v>
      </c>
      <c r="C66" s="18" t="s">
        <v>270</v>
      </c>
      <c r="D66" s="18" t="s">
        <v>261</v>
      </c>
      <c r="E66"/>
      <c r="F66"/>
      <c r="G66"/>
      <c r="H66" s="31" t="s">
        <v>307</v>
      </c>
      <c r="I66" s="33">
        <v>1</v>
      </c>
      <c r="J66" s="32">
        <f t="shared" si="1"/>
        <v>2</v>
      </c>
      <c r="K66"/>
    </row>
    <row r="67" spans="1:11" ht="72">
      <c r="A67" s="16" t="s">
        <v>96</v>
      </c>
      <c r="B67" s="20" t="s">
        <v>97</v>
      </c>
      <c r="C67" s="18" t="s">
        <v>271</v>
      </c>
      <c r="D67" s="18" t="s">
        <v>261</v>
      </c>
      <c r="E67"/>
      <c r="F67"/>
      <c r="G67"/>
      <c r="H67" s="31" t="s">
        <v>309</v>
      </c>
      <c r="I67" s="33">
        <v>1</v>
      </c>
      <c r="J67" s="32">
        <f t="shared" si="1"/>
        <v>2</v>
      </c>
      <c r="K67"/>
    </row>
    <row r="68" spans="1:11" ht="72">
      <c r="A68" s="16" t="s">
        <v>99</v>
      </c>
      <c r="B68" s="20" t="s">
        <v>100</v>
      </c>
      <c r="C68" s="18" t="s">
        <v>272</v>
      </c>
      <c r="D68" s="18" t="s">
        <v>261</v>
      </c>
      <c r="E68"/>
      <c r="F68"/>
      <c r="G68"/>
      <c r="H68" s="31" t="s">
        <v>132</v>
      </c>
      <c r="I68" s="33">
        <v>1</v>
      </c>
      <c r="J68" s="32">
        <f t="shared" si="1"/>
        <v>2</v>
      </c>
      <c r="K68"/>
    </row>
    <row r="69" spans="1:11" ht="72">
      <c r="A69" s="16" t="s">
        <v>102</v>
      </c>
      <c r="B69" s="20" t="s">
        <v>103</v>
      </c>
      <c r="C69" s="18" t="s">
        <v>273</v>
      </c>
      <c r="D69" s="18" t="s">
        <v>261</v>
      </c>
      <c r="E69"/>
      <c r="F69"/>
      <c r="G69"/>
      <c r="H69" s="31" t="s">
        <v>165</v>
      </c>
      <c r="I69" s="33">
        <v>1</v>
      </c>
      <c r="J69" s="32">
        <f t="shared" si="1"/>
        <v>2</v>
      </c>
      <c r="K69"/>
    </row>
    <row r="70" spans="1:11" ht="24">
      <c r="A70" s="16" t="s">
        <v>106</v>
      </c>
      <c r="B70" s="20" t="s">
        <v>285</v>
      </c>
      <c r="C70" s="18" t="s">
        <v>286</v>
      </c>
      <c r="D70" s="18" t="s">
        <v>261</v>
      </c>
      <c r="E70"/>
      <c r="F70"/>
      <c r="G70"/>
      <c r="H70" s="31" t="s">
        <v>167</v>
      </c>
      <c r="I70" s="33">
        <v>1</v>
      </c>
      <c r="J70" s="32">
        <f t="shared" si="1"/>
        <v>2</v>
      </c>
      <c r="K70"/>
    </row>
    <row r="71" spans="1:11" ht="24">
      <c r="A71" s="16" t="s">
        <v>109</v>
      </c>
      <c r="B71" s="20" t="s">
        <v>287</v>
      </c>
      <c r="C71" s="18" t="s">
        <v>288</v>
      </c>
      <c r="D71" s="18" t="s">
        <v>261</v>
      </c>
      <c r="E71"/>
      <c r="F71"/>
      <c r="G71"/>
      <c r="H71" s="31" t="s">
        <v>136</v>
      </c>
      <c r="I71" s="33">
        <v>1</v>
      </c>
      <c r="J71" s="32">
        <f t="shared" si="1"/>
        <v>2</v>
      </c>
      <c r="K71"/>
    </row>
    <row r="72" spans="1:11" ht="24">
      <c r="A72" s="16" t="s">
        <v>112</v>
      </c>
      <c r="B72" s="20" t="s">
        <v>289</v>
      </c>
      <c r="C72" s="18" t="s">
        <v>290</v>
      </c>
      <c r="D72" s="18" t="s">
        <v>261</v>
      </c>
      <c r="E72"/>
      <c r="F72"/>
      <c r="G72"/>
      <c r="H72" s="31" t="s">
        <v>134</v>
      </c>
      <c r="I72" s="33">
        <v>1</v>
      </c>
      <c r="J72" s="32">
        <f t="shared" si="1"/>
        <v>2</v>
      </c>
      <c r="K72"/>
    </row>
    <row r="73" spans="1:11" ht="24">
      <c r="A73" s="16" t="s">
        <v>115</v>
      </c>
      <c r="B73" s="20" t="s">
        <v>291</v>
      </c>
      <c r="C73" s="18" t="s">
        <v>292</v>
      </c>
      <c r="D73" s="18" t="s">
        <v>261</v>
      </c>
      <c r="E73"/>
      <c r="F73"/>
      <c r="G73"/>
      <c r="H73" s="31" t="s">
        <v>372</v>
      </c>
      <c r="I73" s="33">
        <v>1</v>
      </c>
      <c r="J73" s="32">
        <f t="shared" si="1"/>
        <v>2</v>
      </c>
      <c r="K73"/>
    </row>
    <row r="74" spans="1:11" ht="24">
      <c r="A74" s="16" t="s">
        <v>118</v>
      </c>
      <c r="B74" s="20" t="s">
        <v>293</v>
      </c>
      <c r="C74" s="18" t="s">
        <v>294</v>
      </c>
      <c r="D74" s="18" t="s">
        <v>261</v>
      </c>
      <c r="E74"/>
      <c r="F74"/>
      <c r="G74"/>
      <c r="H74" s="31" t="s">
        <v>373</v>
      </c>
      <c r="I74" s="33">
        <v>1</v>
      </c>
      <c r="J74" s="32">
        <f t="shared" si="1"/>
        <v>2</v>
      </c>
      <c r="K74"/>
    </row>
    <row r="75" spans="1:11" ht="24">
      <c r="A75" s="16" t="s">
        <v>171</v>
      </c>
      <c r="B75" s="20" t="s">
        <v>295</v>
      </c>
      <c r="C75" s="18" t="s">
        <v>296</v>
      </c>
      <c r="D75" s="18" t="s">
        <v>261</v>
      </c>
      <c r="E75"/>
      <c r="F75"/>
      <c r="G75"/>
      <c r="H75" s="31" t="s">
        <v>374</v>
      </c>
      <c r="I75" s="33">
        <v>1</v>
      </c>
      <c r="J75" s="32">
        <f t="shared" ref="J75:J90" si="2">1+I75</f>
        <v>2</v>
      </c>
      <c r="K75"/>
    </row>
    <row r="76" spans="1:11" ht="24">
      <c r="A76" s="16" t="s">
        <v>334</v>
      </c>
      <c r="B76" s="20" t="s">
        <v>335</v>
      </c>
      <c r="C76" s="18" t="s">
        <v>336</v>
      </c>
      <c r="D76" s="18" t="s">
        <v>261</v>
      </c>
      <c r="E76"/>
      <c r="F76"/>
      <c r="G76"/>
      <c r="H76" s="31" t="s">
        <v>375</v>
      </c>
      <c r="I76" s="33">
        <v>1</v>
      </c>
      <c r="J76" s="32">
        <f t="shared" si="2"/>
        <v>2</v>
      </c>
      <c r="K76"/>
    </row>
    <row r="77" spans="1:11" ht="24">
      <c r="A77" s="16" t="s">
        <v>121</v>
      </c>
      <c r="B77" s="20" t="s">
        <v>297</v>
      </c>
      <c r="C77" s="18" t="s">
        <v>298</v>
      </c>
      <c r="D77" s="18" t="s">
        <v>261</v>
      </c>
      <c r="E77"/>
      <c r="F77"/>
      <c r="G77"/>
      <c r="H77" s="31" t="s">
        <v>376</v>
      </c>
      <c r="I77" s="33">
        <v>1</v>
      </c>
      <c r="J77" s="32">
        <f t="shared" si="2"/>
        <v>2</v>
      </c>
      <c r="K77"/>
    </row>
    <row r="78" spans="1:11" ht="24">
      <c r="A78" s="16" t="s">
        <v>124</v>
      </c>
      <c r="B78" s="20" t="s">
        <v>299</v>
      </c>
      <c r="C78" s="18" t="s">
        <v>300</v>
      </c>
      <c r="D78" s="18" t="s">
        <v>261</v>
      </c>
      <c r="E78"/>
      <c r="F78"/>
      <c r="G78"/>
      <c r="H78" s="31" t="s">
        <v>138</v>
      </c>
      <c r="I78" s="33">
        <v>1</v>
      </c>
      <c r="J78" s="32">
        <f t="shared" si="2"/>
        <v>2</v>
      </c>
      <c r="K78"/>
    </row>
    <row r="79" spans="1:11" ht="24">
      <c r="A79" s="16" t="s">
        <v>125</v>
      </c>
      <c r="B79" s="20" t="s">
        <v>301</v>
      </c>
      <c r="C79" s="18" t="s">
        <v>302</v>
      </c>
      <c r="D79" s="18" t="s">
        <v>261</v>
      </c>
      <c r="E79"/>
      <c r="F79"/>
      <c r="G79"/>
      <c r="H79" s="31" t="s">
        <v>140</v>
      </c>
      <c r="I79" s="33">
        <v>1</v>
      </c>
      <c r="J79" s="32">
        <f t="shared" si="2"/>
        <v>2</v>
      </c>
      <c r="K79"/>
    </row>
    <row r="80" spans="1:11" ht="24">
      <c r="A80" s="16" t="s">
        <v>126</v>
      </c>
      <c r="B80" s="20" t="s">
        <v>303</v>
      </c>
      <c r="C80" s="18" t="s">
        <v>304</v>
      </c>
      <c r="D80" s="18" t="s">
        <v>261</v>
      </c>
      <c r="E80"/>
      <c r="F80"/>
      <c r="G80"/>
      <c r="H80" s="31" t="s">
        <v>142</v>
      </c>
      <c r="I80" s="33">
        <v>1</v>
      </c>
      <c r="J80" s="32">
        <f t="shared" si="2"/>
        <v>2</v>
      </c>
      <c r="K80"/>
    </row>
    <row r="81" spans="1:11" ht="24">
      <c r="A81" s="16" t="s">
        <v>127</v>
      </c>
      <c r="B81" s="20" t="s">
        <v>305</v>
      </c>
      <c r="C81" s="18" t="s">
        <v>306</v>
      </c>
      <c r="D81" s="18" t="s">
        <v>261</v>
      </c>
      <c r="E81"/>
      <c r="F81"/>
      <c r="G81"/>
      <c r="H81" s="31" t="s">
        <v>311</v>
      </c>
      <c r="I81" s="33">
        <v>1</v>
      </c>
      <c r="J81" s="32">
        <f t="shared" si="2"/>
        <v>2</v>
      </c>
      <c r="K81"/>
    </row>
    <row r="82" spans="1:11" ht="24">
      <c r="A82" s="16" t="s">
        <v>128</v>
      </c>
      <c r="B82" s="20" t="s">
        <v>307</v>
      </c>
      <c r="C82" s="18" t="s">
        <v>308</v>
      </c>
      <c r="D82" s="18" t="s">
        <v>261</v>
      </c>
      <c r="E82"/>
      <c r="F82"/>
      <c r="G82"/>
      <c r="H82" s="31" t="s">
        <v>313</v>
      </c>
      <c r="I82" s="33">
        <v>1</v>
      </c>
      <c r="J82" s="32">
        <f t="shared" si="2"/>
        <v>2</v>
      </c>
      <c r="K82"/>
    </row>
    <row r="83" spans="1:11" ht="24">
      <c r="A83" s="16" t="s">
        <v>129</v>
      </c>
      <c r="B83" s="20" t="s">
        <v>309</v>
      </c>
      <c r="C83" s="18" t="s">
        <v>310</v>
      </c>
      <c r="D83" s="18" t="s">
        <v>261</v>
      </c>
      <c r="E83"/>
      <c r="F83"/>
      <c r="G83"/>
      <c r="H83" s="31" t="s">
        <v>315</v>
      </c>
      <c r="I83" s="33">
        <v>1</v>
      </c>
      <c r="J83" s="32">
        <f t="shared" si="2"/>
        <v>2</v>
      </c>
      <c r="K83"/>
    </row>
    <row r="84" spans="1:11" ht="72">
      <c r="A84" s="16" t="s">
        <v>131</v>
      </c>
      <c r="B84" s="20" t="s">
        <v>132</v>
      </c>
      <c r="C84" s="18" t="s">
        <v>274</v>
      </c>
      <c r="D84" s="18" t="s">
        <v>261</v>
      </c>
      <c r="E84"/>
      <c r="F84"/>
      <c r="G84"/>
      <c r="H84" s="31" t="s">
        <v>377</v>
      </c>
      <c r="I84" s="33">
        <v>1</v>
      </c>
      <c r="J84" s="32">
        <f t="shared" si="2"/>
        <v>2</v>
      </c>
      <c r="K84"/>
    </row>
    <row r="85" spans="1:11" ht="72">
      <c r="A85" s="16" t="s">
        <v>133</v>
      </c>
      <c r="B85" s="20" t="s">
        <v>134</v>
      </c>
      <c r="C85" s="18" t="s">
        <v>275</v>
      </c>
      <c r="D85" s="18" t="s">
        <v>261</v>
      </c>
      <c r="E85"/>
      <c r="F85"/>
      <c r="G85"/>
      <c r="H85" s="31" t="s">
        <v>378</v>
      </c>
      <c r="I85" s="33">
        <v>1</v>
      </c>
      <c r="J85" s="32">
        <f t="shared" si="2"/>
        <v>2</v>
      </c>
      <c r="K85"/>
    </row>
    <row r="86" spans="1:11" ht="72">
      <c r="A86" s="16" t="s">
        <v>135</v>
      </c>
      <c r="B86" s="20" t="s">
        <v>136</v>
      </c>
      <c r="C86" s="18" t="s">
        <v>276</v>
      </c>
      <c r="D86" s="18" t="s">
        <v>261</v>
      </c>
      <c r="E86"/>
      <c r="F86"/>
      <c r="G86"/>
      <c r="H86" s="31" t="s">
        <v>379</v>
      </c>
      <c r="I86" s="33">
        <v>1</v>
      </c>
      <c r="J86" s="32">
        <f t="shared" si="2"/>
        <v>2</v>
      </c>
      <c r="K86"/>
    </row>
    <row r="87" spans="1:11" ht="72">
      <c r="A87" s="16" t="s">
        <v>137</v>
      </c>
      <c r="B87" s="20" t="s">
        <v>138</v>
      </c>
      <c r="C87" s="18" t="s">
        <v>277</v>
      </c>
      <c r="D87" s="18" t="s">
        <v>261</v>
      </c>
      <c r="E87"/>
      <c r="F87"/>
      <c r="G87"/>
      <c r="H87" s="31" t="s">
        <v>380</v>
      </c>
      <c r="I87" s="33">
        <v>1</v>
      </c>
      <c r="J87" s="32">
        <f t="shared" si="2"/>
        <v>2</v>
      </c>
      <c r="K87"/>
    </row>
    <row r="88" spans="1:11" ht="72">
      <c r="A88" s="16" t="s">
        <v>139</v>
      </c>
      <c r="B88" s="20" t="s">
        <v>140</v>
      </c>
      <c r="C88" s="18" t="s">
        <v>278</v>
      </c>
      <c r="D88" s="18" t="s">
        <v>261</v>
      </c>
      <c r="E88"/>
      <c r="F88"/>
      <c r="G88"/>
      <c r="H88" s="31" t="s">
        <v>381</v>
      </c>
      <c r="I88" s="33">
        <v>1</v>
      </c>
      <c r="J88" s="32">
        <f t="shared" si="2"/>
        <v>2</v>
      </c>
      <c r="K88"/>
    </row>
    <row r="89" spans="1:11" ht="72">
      <c r="A89" s="16" t="s">
        <v>141</v>
      </c>
      <c r="B89" s="20" t="s">
        <v>142</v>
      </c>
      <c r="C89" s="18" t="s">
        <v>279</v>
      </c>
      <c r="D89" s="18" t="s">
        <v>261</v>
      </c>
      <c r="E89"/>
      <c r="F89"/>
      <c r="G89"/>
      <c r="H89" s="31" t="s">
        <v>382</v>
      </c>
      <c r="I89" s="33">
        <v>1</v>
      </c>
      <c r="J89" s="32">
        <f t="shared" si="2"/>
        <v>2</v>
      </c>
      <c r="K89"/>
    </row>
    <row r="90" spans="1:11" ht="24">
      <c r="A90" s="16" t="s">
        <v>143</v>
      </c>
      <c r="B90" s="20" t="s">
        <v>311</v>
      </c>
      <c r="C90" s="18" t="s">
        <v>312</v>
      </c>
      <c r="D90" s="18" t="s">
        <v>261</v>
      </c>
      <c r="E90"/>
      <c r="F90"/>
      <c r="G90"/>
      <c r="H90" s="31" t="s">
        <v>146</v>
      </c>
      <c r="I90" s="33">
        <v>1</v>
      </c>
      <c r="J90" s="32">
        <f t="shared" si="2"/>
        <v>2</v>
      </c>
      <c r="K90"/>
    </row>
    <row r="91" spans="1:11" ht="24">
      <c r="A91" s="16" t="s">
        <v>144</v>
      </c>
      <c r="B91" s="20" t="s">
        <v>315</v>
      </c>
      <c r="C91" s="18" t="s">
        <v>316</v>
      </c>
      <c r="D91" s="18" t="s">
        <v>261</v>
      </c>
      <c r="E91"/>
      <c r="F91"/>
      <c r="G91"/>
      <c r="H91"/>
      <c r="I91"/>
      <c r="J91"/>
      <c r="K91"/>
    </row>
    <row r="92" spans="1:11" ht="72">
      <c r="A92" s="16" t="s">
        <v>145</v>
      </c>
      <c r="B92" s="20" t="s">
        <v>146</v>
      </c>
      <c r="C92" s="18" t="s">
        <v>280</v>
      </c>
      <c r="D92" s="18" t="s">
        <v>261</v>
      </c>
      <c r="E92"/>
      <c r="F92"/>
      <c r="G92"/>
      <c r="H92"/>
      <c r="I92"/>
      <c r="J92"/>
      <c r="K92"/>
    </row>
    <row r="93" spans="1:11" ht="72">
      <c r="A93" s="16" t="s">
        <v>164</v>
      </c>
      <c r="B93" s="20" t="s">
        <v>165</v>
      </c>
      <c r="C93" s="18" t="s">
        <v>281</v>
      </c>
      <c r="D93" s="18" t="s">
        <v>261</v>
      </c>
      <c r="E93"/>
      <c r="F93"/>
      <c r="G93"/>
      <c r="H93"/>
      <c r="I93"/>
      <c r="J93"/>
      <c r="K93"/>
    </row>
    <row r="94" spans="1:11" ht="72">
      <c r="A94" s="16" t="s">
        <v>166</v>
      </c>
      <c r="B94" s="20" t="s">
        <v>167</v>
      </c>
      <c r="C94" s="18" t="s">
        <v>282</v>
      </c>
      <c r="D94" s="18" t="s">
        <v>261</v>
      </c>
      <c r="E94"/>
      <c r="F94"/>
      <c r="G94"/>
      <c r="H94"/>
      <c r="I94"/>
      <c r="J94"/>
      <c r="K94"/>
    </row>
    <row r="95" spans="1:11" ht="24">
      <c r="A95" s="16" t="s">
        <v>168</v>
      </c>
      <c r="B95" s="20" t="s">
        <v>313</v>
      </c>
      <c r="C95" s="18" t="s">
        <v>314</v>
      </c>
      <c r="D95" s="18" t="s">
        <v>261</v>
      </c>
      <c r="E95"/>
      <c r="F95"/>
      <c r="G95"/>
      <c r="H95"/>
      <c r="I95"/>
      <c r="J95"/>
      <c r="K95"/>
    </row>
  </sheetData>
  <mergeCells count="11">
    <mergeCell ref="A39:B39"/>
    <mergeCell ref="C39:D39"/>
    <mergeCell ref="A55:B55"/>
    <mergeCell ref="C55:D55"/>
    <mergeCell ref="A1:K1"/>
    <mergeCell ref="A6:B6"/>
    <mergeCell ref="C6:D6"/>
    <mergeCell ref="A22:B22"/>
    <mergeCell ref="C22:D22"/>
    <mergeCell ref="H6:J6"/>
    <mergeCell ref="H7:J8"/>
  </mergeCells>
  <dataValidations count="5">
    <dataValidation type="whole" allowBlank="1" showInputMessage="1" showErrorMessage="1" errorTitle="Enter a whole number" error="Enter a whole number from 1 to 1000." promptTitle="CombinedData header row" prompt="Enter the row containing the _1, _2 and _3 headers." sqref="B9" xr:uid="{8F7CCAD3-E0FD-431F-BFE6-DC1341401A40}">
      <formula1>1</formula1>
      <formula2>1000</formula2>
    </dataValidation>
    <dataValidation type="whole" allowBlank="1" showInputMessage="1" showErrorMessage="1" errorTitle="Enter a whole number" error="Enter a whole number from 2 to 1000000." promptTitle="CombinedData first row" prompt="Enter a row below Header Row." sqref="B10" xr:uid="{30A1E299-607D-4A2B-8C2D-4A56F48ECFC3}">
      <formula1>2</formula1>
      <formula2>1000000</formula2>
    </dataValidation>
    <dataValidation type="list" allowBlank="1" showInputMessage="1" showErrorMessage="1" errorTitle="Choose from the list" error="Select one of the available choices." promptTitle="Run option" prompt="Choose Yes or No." sqref="B11:B14" xr:uid="{C9D55CDD-2F51-477F-8AE4-FF6A5AF33733}">
      <formula1>"Yes,No"</formula1>
    </dataValidation>
    <dataValidation type="list" allowBlank="1" showInputMessage="1" showErrorMessage="1" errorTitle="Choose from the list" error="Select one of the available choices." promptTitle="Reference case" prompt="Choose whether exact reference matching is case-sensitive." sqref="B17" xr:uid="{B3CE44DE-BBAE-492B-AEBA-F0A28EF6A0F1}">
      <formula1>"Yes,No"</formula1>
    </dataValidation>
    <dataValidation type="whole" allowBlank="1" showInputMessage="1" showErrorMessage="1" errorTitle="Whole copy count required" error="Use 0 for original only, 1 for two fields in total, or another non-negative whole number." sqref="I11:I90" xr:uid="{8A4A21C2-B720-48FC-BAA0-ED397F410BD4}">
      <formula1>0</formula1>
      <formula2>16383</formula2>
    </dataValidation>
  </dataValidations>
  <pageMargins left="0.7" right="0.7" top="0.75" bottom="0.75" header="0.3" footer="0.3"/>
  <pageSetup paperSize="9" scale="34" fitToHeight="0" orientation="landscape" horizontalDpi="4294967293"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C8309-0095-4036-B9F8-9DCCF67FEF76}">
  <sheetPr codeName="shAssumptions"/>
  <dimension ref="A1:C82"/>
  <sheetViews>
    <sheetView showGridLines="0" zoomScale="85" zoomScaleNormal="85" workbookViewId="0">
      <pane ySplit="5" topLeftCell="A6" activePane="bottomLeft" state="frozenSplit"/>
      <selection pane="bottomLeft"/>
    </sheetView>
  </sheetViews>
  <sheetFormatPr defaultRowHeight="14.25"/>
  <cols>
    <col min="1" max="1" width="25" customWidth="1"/>
    <col min="2" max="2" width="29" customWidth="1"/>
    <col min="3" max="3" width="112" customWidth="1"/>
  </cols>
  <sheetData>
    <row r="1" spans="1:3" ht="30" customHeight="1">
      <c r="A1" s="34" t="s">
        <v>383</v>
      </c>
      <c r="B1" s="35"/>
      <c r="C1" s="35"/>
    </row>
    <row r="2" spans="1:3" ht="29.1" customHeight="1">
      <c r="A2" s="36" t="s">
        <v>384</v>
      </c>
      <c r="B2" s="36"/>
      <c r="C2" s="36" t="s">
        <v>385</v>
      </c>
    </row>
    <row r="3" spans="1:3" ht="29.1" customHeight="1">
      <c r="A3" s="36" t="s">
        <v>386</v>
      </c>
      <c r="B3" s="36"/>
      <c r="C3" s="36" t="s">
        <v>387</v>
      </c>
    </row>
    <row r="4" spans="1:3" ht="9" customHeight="1">
      <c r="A4" s="37"/>
      <c r="B4" s="37"/>
      <c r="C4" s="37"/>
    </row>
    <row r="5" spans="1:3" ht="30" customHeight="1">
      <c r="A5" s="38" t="s">
        <v>388</v>
      </c>
      <c r="B5" s="38" t="s">
        <v>389</v>
      </c>
      <c r="C5" s="38" t="s">
        <v>390</v>
      </c>
    </row>
    <row r="6" spans="1:3" ht="45.95" customHeight="1">
      <c r="A6" s="39" t="s">
        <v>391</v>
      </c>
      <c r="B6" s="39" t="s">
        <v>392</v>
      </c>
      <c r="C6" s="40" t="s">
        <v>393</v>
      </c>
    </row>
    <row r="7" spans="1:3" ht="45.95" customHeight="1">
      <c r="A7" s="39" t="s">
        <v>391</v>
      </c>
      <c r="B7" s="39" t="s">
        <v>394</v>
      </c>
      <c r="C7" s="40" t="s">
        <v>395</v>
      </c>
    </row>
    <row r="8" spans="1:3" ht="45.95" customHeight="1">
      <c r="A8" s="39" t="s">
        <v>391</v>
      </c>
      <c r="B8" s="39" t="s">
        <v>396</v>
      </c>
      <c r="C8" s="40" t="s">
        <v>397</v>
      </c>
    </row>
    <row r="9" spans="1:3" ht="45.95" customHeight="1">
      <c r="A9" s="39" t="s">
        <v>398</v>
      </c>
      <c r="B9" s="39" t="s">
        <v>399</v>
      </c>
      <c r="C9" s="40" t="s">
        <v>400</v>
      </c>
    </row>
    <row r="10" spans="1:3" ht="45.95" customHeight="1">
      <c r="A10" s="39" t="s">
        <v>398</v>
      </c>
      <c r="B10" s="39" t="s">
        <v>401</v>
      </c>
      <c r="C10" s="40" t="s">
        <v>402</v>
      </c>
    </row>
    <row r="11" spans="1:3" ht="45.95" customHeight="1">
      <c r="A11" s="39" t="s">
        <v>398</v>
      </c>
      <c r="B11" s="39" t="s">
        <v>403</v>
      </c>
      <c r="C11" s="40" t="s">
        <v>404</v>
      </c>
    </row>
    <row r="12" spans="1:3" ht="45.95" customHeight="1">
      <c r="A12" s="39" t="s">
        <v>398</v>
      </c>
      <c r="B12" s="39" t="s">
        <v>405</v>
      </c>
      <c r="C12" s="40" t="s">
        <v>406</v>
      </c>
    </row>
    <row r="13" spans="1:3" ht="45.95" customHeight="1">
      <c r="A13" s="39" t="s">
        <v>398</v>
      </c>
      <c r="B13" s="39" t="s">
        <v>407</v>
      </c>
      <c r="C13" s="40" t="s">
        <v>408</v>
      </c>
    </row>
    <row r="14" spans="1:3" ht="45.95" customHeight="1">
      <c r="A14" s="39" t="s">
        <v>398</v>
      </c>
      <c r="B14" s="39" t="s">
        <v>409</v>
      </c>
      <c r="C14" s="40" t="s">
        <v>410</v>
      </c>
    </row>
    <row r="15" spans="1:3" ht="45.95" customHeight="1">
      <c r="A15" s="39" t="s">
        <v>398</v>
      </c>
      <c r="B15" s="39" t="s">
        <v>411</v>
      </c>
      <c r="C15" s="40" t="s">
        <v>412</v>
      </c>
    </row>
    <row r="16" spans="1:3" ht="45.95" customHeight="1">
      <c r="A16" s="39" t="s">
        <v>398</v>
      </c>
      <c r="B16" s="39" t="s">
        <v>413</v>
      </c>
      <c r="C16" s="40" t="s">
        <v>414</v>
      </c>
    </row>
    <row r="17" spans="1:3" ht="45.95" customHeight="1">
      <c r="A17" s="39" t="s">
        <v>398</v>
      </c>
      <c r="B17" s="39" t="s">
        <v>415</v>
      </c>
      <c r="C17" s="40" t="s">
        <v>416</v>
      </c>
    </row>
    <row r="18" spans="1:3" ht="45.95" customHeight="1">
      <c r="A18" s="39" t="s">
        <v>398</v>
      </c>
      <c r="B18" s="39" t="s">
        <v>417</v>
      </c>
      <c r="C18" s="40" t="s">
        <v>418</v>
      </c>
    </row>
    <row r="19" spans="1:3" ht="45.95" customHeight="1">
      <c r="A19" s="39" t="s">
        <v>419</v>
      </c>
      <c r="B19" s="39" t="s">
        <v>420</v>
      </c>
      <c r="C19" s="40" t="s">
        <v>421</v>
      </c>
    </row>
    <row r="20" spans="1:3" ht="45.95" customHeight="1">
      <c r="A20" s="39" t="s">
        <v>419</v>
      </c>
      <c r="B20" s="39" t="s">
        <v>422</v>
      </c>
      <c r="C20" s="40" t="s">
        <v>423</v>
      </c>
    </row>
    <row r="21" spans="1:3" ht="45.95" customHeight="1">
      <c r="A21" s="39" t="s">
        <v>419</v>
      </c>
      <c r="B21" s="39" t="s">
        <v>424</v>
      </c>
      <c r="C21" s="40" t="s">
        <v>425</v>
      </c>
    </row>
    <row r="22" spans="1:3" ht="45.95" customHeight="1">
      <c r="A22" s="39" t="s">
        <v>419</v>
      </c>
      <c r="B22" s="39" t="s">
        <v>426</v>
      </c>
      <c r="C22" s="40" t="s">
        <v>427</v>
      </c>
    </row>
    <row r="23" spans="1:3" ht="45.95" customHeight="1">
      <c r="A23" s="39" t="s">
        <v>419</v>
      </c>
      <c r="B23" s="39" t="s">
        <v>428</v>
      </c>
      <c r="C23" s="40" t="s">
        <v>429</v>
      </c>
    </row>
    <row r="24" spans="1:3" ht="45.95" customHeight="1">
      <c r="A24" s="39" t="s">
        <v>419</v>
      </c>
      <c r="B24" s="39" t="s">
        <v>430</v>
      </c>
      <c r="C24" s="40" t="s">
        <v>431</v>
      </c>
    </row>
    <row r="25" spans="1:3" ht="45.95" customHeight="1">
      <c r="A25" s="39" t="s">
        <v>419</v>
      </c>
      <c r="B25" s="39" t="s">
        <v>432</v>
      </c>
      <c r="C25" s="40" t="s">
        <v>433</v>
      </c>
    </row>
    <row r="26" spans="1:3" ht="45.95" customHeight="1">
      <c r="A26" s="39" t="s">
        <v>419</v>
      </c>
      <c r="B26" s="39" t="s">
        <v>434</v>
      </c>
      <c r="C26" s="40" t="s">
        <v>435</v>
      </c>
    </row>
    <row r="27" spans="1:3" ht="45.95" customHeight="1">
      <c r="A27" s="39" t="s">
        <v>419</v>
      </c>
      <c r="B27" s="39" t="s">
        <v>436</v>
      </c>
      <c r="C27" s="40" t="s">
        <v>437</v>
      </c>
    </row>
    <row r="28" spans="1:3" ht="45.95" customHeight="1">
      <c r="A28" s="39" t="s">
        <v>438</v>
      </c>
      <c r="B28" s="39" t="s">
        <v>439</v>
      </c>
      <c r="C28" s="40" t="s">
        <v>440</v>
      </c>
    </row>
    <row r="29" spans="1:3" ht="45.95" customHeight="1">
      <c r="A29" s="39" t="s">
        <v>438</v>
      </c>
      <c r="B29" s="39" t="s">
        <v>441</v>
      </c>
      <c r="C29" s="40" t="s">
        <v>442</v>
      </c>
    </row>
    <row r="30" spans="1:3" ht="45.95" customHeight="1">
      <c r="A30" s="39" t="s">
        <v>438</v>
      </c>
      <c r="B30" s="39" t="s">
        <v>443</v>
      </c>
      <c r="C30" s="40" t="s">
        <v>444</v>
      </c>
    </row>
    <row r="31" spans="1:3" ht="45.95" customHeight="1">
      <c r="A31" s="39" t="s">
        <v>438</v>
      </c>
      <c r="B31" s="39" t="s">
        <v>445</v>
      </c>
      <c r="C31" s="40" t="s">
        <v>446</v>
      </c>
    </row>
    <row r="32" spans="1:3" ht="45.95" customHeight="1">
      <c r="A32" s="39" t="s">
        <v>438</v>
      </c>
      <c r="B32" s="39" t="s">
        <v>447</v>
      </c>
      <c r="C32" s="40" t="s">
        <v>448</v>
      </c>
    </row>
    <row r="33" spans="1:3" ht="45.95" customHeight="1">
      <c r="A33" s="39" t="s">
        <v>438</v>
      </c>
      <c r="B33" s="39" t="s">
        <v>449</v>
      </c>
      <c r="C33" s="40" t="s">
        <v>450</v>
      </c>
    </row>
    <row r="34" spans="1:3" ht="45.95" customHeight="1">
      <c r="A34" s="39" t="s">
        <v>438</v>
      </c>
      <c r="B34" s="39" t="s">
        <v>451</v>
      </c>
      <c r="C34" s="40" t="s">
        <v>452</v>
      </c>
    </row>
    <row r="35" spans="1:3" ht="45.95" customHeight="1">
      <c r="A35" s="39" t="s">
        <v>438</v>
      </c>
      <c r="B35" s="39" t="s">
        <v>453</v>
      </c>
      <c r="C35" s="40" t="s">
        <v>454</v>
      </c>
    </row>
    <row r="36" spans="1:3" ht="45.95" customHeight="1">
      <c r="A36" s="39" t="s">
        <v>438</v>
      </c>
      <c r="B36" s="39" t="s">
        <v>455</v>
      </c>
      <c r="C36" s="40" t="s">
        <v>456</v>
      </c>
    </row>
    <row r="37" spans="1:3" ht="45.95" customHeight="1">
      <c r="A37" s="39" t="s">
        <v>457</v>
      </c>
      <c r="B37" s="39" t="s">
        <v>458</v>
      </c>
      <c r="C37" s="40" t="s">
        <v>459</v>
      </c>
    </row>
    <row r="38" spans="1:3" ht="45.95" customHeight="1">
      <c r="A38" s="39" t="s">
        <v>457</v>
      </c>
      <c r="B38" s="39" t="s">
        <v>460</v>
      </c>
      <c r="C38" s="40" t="s">
        <v>461</v>
      </c>
    </row>
    <row r="39" spans="1:3" ht="45.95" customHeight="1">
      <c r="A39" s="39" t="s">
        <v>457</v>
      </c>
      <c r="B39" s="39" t="s">
        <v>462</v>
      </c>
      <c r="C39" s="40" t="s">
        <v>463</v>
      </c>
    </row>
    <row r="40" spans="1:3" ht="45.95" customHeight="1">
      <c r="A40" s="39" t="s">
        <v>457</v>
      </c>
      <c r="B40" s="39" t="s">
        <v>464</v>
      </c>
      <c r="C40" s="40" t="s">
        <v>465</v>
      </c>
    </row>
    <row r="41" spans="1:3" ht="45.95" customHeight="1">
      <c r="A41" s="39" t="s">
        <v>457</v>
      </c>
      <c r="B41" s="39" t="s">
        <v>466</v>
      </c>
      <c r="C41" s="40" t="s">
        <v>467</v>
      </c>
    </row>
    <row r="42" spans="1:3" ht="45.95" customHeight="1">
      <c r="A42" s="39" t="s">
        <v>457</v>
      </c>
      <c r="B42" s="39" t="s">
        <v>468</v>
      </c>
      <c r="C42" s="40" t="s">
        <v>469</v>
      </c>
    </row>
    <row r="43" spans="1:3" ht="45.95" customHeight="1">
      <c r="A43" s="39" t="s">
        <v>457</v>
      </c>
      <c r="B43" s="39" t="s">
        <v>470</v>
      </c>
      <c r="C43" s="40" t="s">
        <v>471</v>
      </c>
    </row>
    <row r="44" spans="1:3" ht="45.95" customHeight="1">
      <c r="A44" s="39" t="s">
        <v>457</v>
      </c>
      <c r="B44" s="39" t="s">
        <v>472</v>
      </c>
      <c r="C44" s="40" t="s">
        <v>473</v>
      </c>
    </row>
    <row r="45" spans="1:3" ht="45.95" customHeight="1">
      <c r="A45" s="39" t="s">
        <v>474</v>
      </c>
      <c r="B45" s="39" t="s">
        <v>475</v>
      </c>
      <c r="C45" s="40" t="s">
        <v>476</v>
      </c>
    </row>
    <row r="46" spans="1:3" ht="45.95" customHeight="1">
      <c r="A46" s="39" t="s">
        <v>474</v>
      </c>
      <c r="B46" s="39" t="s">
        <v>477</v>
      </c>
      <c r="C46" s="40" t="s">
        <v>478</v>
      </c>
    </row>
    <row r="47" spans="1:3" ht="45.95" customHeight="1">
      <c r="A47" s="39" t="s">
        <v>474</v>
      </c>
      <c r="B47" s="39" t="s">
        <v>479</v>
      </c>
      <c r="C47" s="40" t="s">
        <v>480</v>
      </c>
    </row>
    <row r="48" spans="1:3" ht="45.95" customHeight="1">
      <c r="A48" s="39" t="s">
        <v>474</v>
      </c>
      <c r="B48" s="39" t="s">
        <v>481</v>
      </c>
      <c r="C48" s="40" t="s">
        <v>482</v>
      </c>
    </row>
    <row r="49" spans="1:3" ht="45.95" customHeight="1">
      <c r="A49" s="39" t="s">
        <v>474</v>
      </c>
      <c r="B49" s="39" t="s">
        <v>483</v>
      </c>
      <c r="C49" s="40" t="s">
        <v>484</v>
      </c>
    </row>
    <row r="50" spans="1:3" ht="45.95" customHeight="1">
      <c r="A50" s="39" t="s">
        <v>474</v>
      </c>
      <c r="B50" s="39" t="s">
        <v>485</v>
      </c>
      <c r="C50" s="40" t="s">
        <v>486</v>
      </c>
    </row>
    <row r="51" spans="1:3" ht="45.95" customHeight="1">
      <c r="A51" s="39" t="s">
        <v>474</v>
      </c>
      <c r="B51" s="39" t="s">
        <v>487</v>
      </c>
      <c r="C51" s="40" t="s">
        <v>488</v>
      </c>
    </row>
    <row r="52" spans="1:3" ht="45.95" customHeight="1">
      <c r="A52" s="39" t="s">
        <v>489</v>
      </c>
      <c r="B52" s="39" t="s">
        <v>490</v>
      </c>
      <c r="C52" s="40" t="s">
        <v>491</v>
      </c>
    </row>
    <row r="53" spans="1:3" ht="45.95" customHeight="1">
      <c r="A53" s="39" t="s">
        <v>489</v>
      </c>
      <c r="B53" s="39" t="s">
        <v>492</v>
      </c>
      <c r="C53" s="40" t="s">
        <v>493</v>
      </c>
    </row>
    <row r="54" spans="1:3" ht="45.95" customHeight="1">
      <c r="A54" s="39" t="s">
        <v>489</v>
      </c>
      <c r="B54" s="39" t="s">
        <v>494</v>
      </c>
      <c r="C54" s="40" t="s">
        <v>495</v>
      </c>
    </row>
    <row r="55" spans="1:3" ht="45.95" customHeight="1">
      <c r="A55" s="39" t="s">
        <v>489</v>
      </c>
      <c r="B55" s="39" t="s">
        <v>496</v>
      </c>
      <c r="C55" s="40" t="s">
        <v>497</v>
      </c>
    </row>
    <row r="56" spans="1:3" ht="45.95" customHeight="1">
      <c r="A56" s="39" t="s">
        <v>489</v>
      </c>
      <c r="B56" s="39" t="s">
        <v>498</v>
      </c>
      <c r="C56" s="40" t="s">
        <v>499</v>
      </c>
    </row>
    <row r="57" spans="1:3" ht="45.95" customHeight="1">
      <c r="A57" s="39" t="s">
        <v>489</v>
      </c>
      <c r="B57" s="39" t="s">
        <v>500</v>
      </c>
      <c r="C57" s="40" t="s">
        <v>501</v>
      </c>
    </row>
    <row r="58" spans="1:3" ht="45.95" customHeight="1">
      <c r="A58" s="39" t="s">
        <v>489</v>
      </c>
      <c r="B58" s="39" t="s">
        <v>502</v>
      </c>
      <c r="C58" s="40" t="s">
        <v>503</v>
      </c>
    </row>
    <row r="59" spans="1:3" ht="45.95" customHeight="1">
      <c r="A59" s="39" t="s">
        <v>489</v>
      </c>
      <c r="B59" s="39" t="s">
        <v>504</v>
      </c>
      <c r="C59" s="40" t="s">
        <v>505</v>
      </c>
    </row>
    <row r="60" spans="1:3" ht="45.95" customHeight="1">
      <c r="A60" s="39" t="s">
        <v>489</v>
      </c>
      <c r="B60" s="39" t="s">
        <v>506</v>
      </c>
      <c r="C60" s="40" t="s">
        <v>507</v>
      </c>
    </row>
    <row r="61" spans="1:3" ht="45.95" customHeight="1">
      <c r="A61" s="39" t="s">
        <v>489</v>
      </c>
      <c r="B61" s="39" t="s">
        <v>508</v>
      </c>
      <c r="C61" s="40" t="s">
        <v>509</v>
      </c>
    </row>
    <row r="62" spans="1:3" ht="45.95" customHeight="1">
      <c r="A62" s="39" t="s">
        <v>510</v>
      </c>
      <c r="B62" s="39" t="s">
        <v>511</v>
      </c>
      <c r="C62" s="40" t="s">
        <v>512</v>
      </c>
    </row>
    <row r="63" spans="1:3" ht="45.95" customHeight="1">
      <c r="A63" s="39" t="s">
        <v>510</v>
      </c>
      <c r="B63" s="39" t="s">
        <v>513</v>
      </c>
      <c r="C63" s="40" t="s">
        <v>514</v>
      </c>
    </row>
    <row r="64" spans="1:3" ht="45.95" customHeight="1">
      <c r="A64" s="39" t="s">
        <v>510</v>
      </c>
      <c r="B64" s="39" t="s">
        <v>515</v>
      </c>
      <c r="C64" s="40" t="s">
        <v>516</v>
      </c>
    </row>
    <row r="65" spans="1:3" ht="45.95" customHeight="1">
      <c r="A65" s="39" t="s">
        <v>510</v>
      </c>
      <c r="B65" s="39" t="s">
        <v>517</v>
      </c>
      <c r="C65" s="40" t="s">
        <v>518</v>
      </c>
    </row>
    <row r="66" spans="1:3" ht="45.95" customHeight="1">
      <c r="A66" s="39" t="s">
        <v>510</v>
      </c>
      <c r="B66" s="39" t="s">
        <v>519</v>
      </c>
      <c r="C66" s="40" t="s">
        <v>520</v>
      </c>
    </row>
    <row r="67" spans="1:3" ht="45.95" customHeight="1">
      <c r="A67" s="39" t="s">
        <v>510</v>
      </c>
      <c r="B67" s="39" t="s">
        <v>521</v>
      </c>
      <c r="C67" s="40" t="s">
        <v>522</v>
      </c>
    </row>
    <row r="68" spans="1:3" ht="45.95" customHeight="1">
      <c r="A68" s="39" t="s">
        <v>510</v>
      </c>
      <c r="B68" s="39" t="s">
        <v>523</v>
      </c>
      <c r="C68" s="40" t="s">
        <v>524</v>
      </c>
    </row>
    <row r="69" spans="1:3" ht="45.95" customHeight="1">
      <c r="A69" s="39" t="s">
        <v>510</v>
      </c>
      <c r="B69" s="39" t="s">
        <v>525</v>
      </c>
      <c r="C69" s="40" t="s">
        <v>526</v>
      </c>
    </row>
    <row r="70" spans="1:3" ht="45.95" customHeight="1">
      <c r="A70" s="39" t="s">
        <v>527</v>
      </c>
      <c r="B70" s="39" t="s">
        <v>528</v>
      </c>
      <c r="C70" s="40" t="s">
        <v>529</v>
      </c>
    </row>
    <row r="71" spans="1:3" ht="45.95" customHeight="1">
      <c r="A71" s="39" t="s">
        <v>527</v>
      </c>
      <c r="B71" s="39" t="s">
        <v>530</v>
      </c>
      <c r="C71" s="40" t="s">
        <v>531</v>
      </c>
    </row>
    <row r="72" spans="1:3" ht="45.95" customHeight="1">
      <c r="A72" s="39" t="s">
        <v>527</v>
      </c>
      <c r="B72" s="39" t="s">
        <v>532</v>
      </c>
      <c r="C72" s="40" t="s">
        <v>533</v>
      </c>
    </row>
    <row r="73" spans="1:3" ht="45.95" customHeight="1">
      <c r="A73" s="39" t="s">
        <v>527</v>
      </c>
      <c r="B73" s="39" t="s">
        <v>534</v>
      </c>
      <c r="C73" s="40" t="s">
        <v>535</v>
      </c>
    </row>
    <row r="74" spans="1:3" ht="45.95" customHeight="1">
      <c r="A74" s="39" t="s">
        <v>527</v>
      </c>
      <c r="B74" s="39" t="s">
        <v>536</v>
      </c>
      <c r="C74" s="40" t="s">
        <v>537</v>
      </c>
    </row>
    <row r="75" spans="1:3" ht="45.95" customHeight="1">
      <c r="A75" s="39" t="s">
        <v>527</v>
      </c>
      <c r="B75" s="39" t="s">
        <v>538</v>
      </c>
      <c r="C75" s="40" t="s">
        <v>539</v>
      </c>
    </row>
    <row r="76" spans="1:3" ht="45.95" customHeight="1">
      <c r="A76" s="39" t="s">
        <v>527</v>
      </c>
      <c r="B76" s="39" t="s">
        <v>540</v>
      </c>
      <c r="C76" s="40" t="s">
        <v>541</v>
      </c>
    </row>
    <row r="77" spans="1:3" ht="45.95" customHeight="1">
      <c r="A77" s="39" t="s">
        <v>527</v>
      </c>
      <c r="B77" s="39" t="s">
        <v>542</v>
      </c>
      <c r="C77" s="40" t="s">
        <v>543</v>
      </c>
    </row>
    <row r="78" spans="1:3" ht="45.95" customHeight="1">
      <c r="A78" s="39" t="s">
        <v>527</v>
      </c>
      <c r="B78" s="39" t="s">
        <v>544</v>
      </c>
      <c r="C78" s="40" t="s">
        <v>545</v>
      </c>
    </row>
    <row r="79" spans="1:3" ht="45.95" customHeight="1">
      <c r="A79" s="39" t="s">
        <v>527</v>
      </c>
      <c r="B79" s="39" t="s">
        <v>546</v>
      </c>
      <c r="C79" s="40" t="s">
        <v>547</v>
      </c>
    </row>
    <row r="80" spans="1:3">
      <c r="A80" s="37"/>
      <c r="B80" s="37"/>
      <c r="C80" s="37"/>
    </row>
    <row r="81" spans="1:3" ht="30" customHeight="1">
      <c r="A81" s="41" t="s">
        <v>548</v>
      </c>
      <c r="B81" s="41"/>
      <c r="C81" s="36" t="s">
        <v>549</v>
      </c>
    </row>
    <row r="82" spans="1:3">
      <c r="A82" s="37"/>
      <c r="B82" s="37"/>
      <c r="C82" s="37"/>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ReadMe</vt:lpstr>
      <vt:lpstr>Errors</vt:lpstr>
      <vt:lpstr>AccountCode</vt:lpstr>
      <vt:lpstr>AccountCodeOverride</vt:lpstr>
      <vt:lpstr>CostCentre</vt:lpstr>
      <vt:lpstr>POAdjustment</vt:lpstr>
      <vt:lpstr>POForecast</vt:lpstr>
      <vt:lpstr>DataValidation</vt:lpstr>
      <vt:lpstr>JournalSource</vt:lpstr>
      <vt:lpstr>Additions</vt:lpstr>
      <vt:lpstr>HelperSheet</vt:lpstr>
      <vt:lpstr>Assumptions</vt:lpstr>
      <vt:lpstr>HelperSheet!Print_Area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Natasha Gibson</cp:lastModifiedBy>
  <dcterms:modified xsi:type="dcterms:W3CDTF">2026-09-10T05:51:01Z</dcterms:modified>
</cp:coreProperties>
</file>